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\ecogreen-tm-ver3\public\"/>
    </mc:Choice>
  </mc:AlternateContent>
  <xr:revisionPtr revIDLastSave="0" documentId="13_ncr:1_{F48CECD8-E5FD-4C26-8869-4DD3CB569FED}" xr6:coauthVersionLast="47" xr6:coauthVersionMax="47" xr10:uidLastSave="{00000000-0000-0000-0000-000000000000}"/>
  <bookViews>
    <workbookView xWindow="-120" yWindow="-120" windowWidth="29040" windowHeight="15720" xr2:uid="{AD2E0A4F-9FEE-4AB8-8DB9-65C2032D5FD9}"/>
  </bookViews>
  <sheets>
    <sheet name="청구26.03 (2)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hidden="1">#REF!</definedName>
    <definedName name="_Key1" hidden="1">#REF!</definedName>
    <definedName name="_Key2" hidden="1">#REF!</definedName>
    <definedName name="_Order1" hidden="1">0</definedName>
    <definedName name="_Order2" hidden="1">0</definedName>
    <definedName name="_Sort" hidden="1">[1]내역서!#REF!</definedName>
    <definedName name="Access_Button" hidden="1">"종합사번1999년_99년02월_퇴사__List"</definedName>
    <definedName name="AccessDatabase" hidden="1">"C:\My Documents\사번\종합사번1999년.mdb"</definedName>
    <definedName name="HTML_CodePage" hidden="1">949</definedName>
    <definedName name="HTML_Control" hidden="1">{"'2분기예산별'!$B$2:$O$38"}</definedName>
    <definedName name="HTML_Description" hidden="1">""</definedName>
    <definedName name="HTML_Email" hidden="1">""</definedName>
    <definedName name="HTML_Header" hidden="1">"2분기예산별"</definedName>
    <definedName name="HTML_LastUpdate" hidden="1">"98-07-14"</definedName>
    <definedName name="HTML_LineAfter" hidden="1">FALSE</definedName>
    <definedName name="HTML_LineBefore" hidden="1">FALSE</definedName>
    <definedName name="HTML_Name" hidden="1">"신공항"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"6월data"</definedName>
    <definedName name="_xlnm.Print_Area" localSheetId="0">'청구26.03 (2)'!$A$1:$Q$79</definedName>
    <definedName name="rewr" hidden="1">{#N/A,#N/A,FALSE,"이력서&amp;자기소개서"}</definedName>
    <definedName name="wrn.이력서._.자기소개서." hidden="1">{#N/A,#N/A,FALSE,"이력서&amp;자기소개서"}</definedName>
    <definedName name="zzz" hidden="1">{#N/A,#N/A,FALSE,"이력서&amp;자기소개서"}</definedName>
    <definedName name="감가" hidden="1">{"'2분기예산별'!$B$2:$O$38"}</definedName>
    <definedName name="감가3" hidden="1">{"'2분기예산별'!$B$2:$O$38"}</definedName>
    <definedName name="건비" hidden="1">{"'2분기예산별'!$B$2:$O$38"}</definedName>
    <definedName name="견적서" hidden="1">[2]내역서!#REF!</definedName>
    <definedName name="ㄴ" hidden="1">[3]내역서!#REF!</definedName>
    <definedName name="ㄴㄴ" hidden="1">[3]내역서!#REF!</definedName>
    <definedName name="ㄴㅁㅇㄹ" hidden="1">[4]내역서!#REF!</definedName>
    <definedName name="ㄹ" hidden="1">{"'2분기예산별'!$B$2:$O$38"}</definedName>
    <definedName name="ㅀ" hidden="1">[3]내역서!#REF!</definedName>
    <definedName name="ㅁㄴㅇ" hidden="1">{#N/A,#N/A,FALSE,"이력서&amp;자기소개서"}</definedName>
    <definedName name="미화" hidden="1">{#N/A,#N/A,FALSE,"이력서&amp;자기소개서"}</definedName>
    <definedName name="미화2" hidden="1">{#N/A,#N/A,FALSE,"이력서&amp;자기소개서"}</definedName>
    <definedName name="산출" hidden="1">[3]내역서!#REF!</definedName>
    <definedName name="ㅇㅇ" hidden="1">[3]내역서!#REF!</definedName>
    <definedName name="앙" hidden="1">{#N/A,#N/A,FALSE,"이력서&amp;자기소개서"}</definedName>
    <definedName name="이" hidden="1">[3]내역서!#REF!</definedName>
    <definedName name="인건비" hidden="1">{"'2분기예산별'!$B$2:$O$38"}</definedName>
    <definedName name="인건비1" hidden="1">{"'2분기예산별'!$B$2:$O$38"}</definedName>
    <definedName name="인건비내역" hidden="1">[2]내역서!#REF!</definedName>
    <definedName name="직접인건비A" hidden="1">{"'2분기예산별'!$B$2:$O$38"}</definedName>
    <definedName name="직접인건비세부내역A" hidden="1">{"'2분기예산별'!$B$2:$O$38"}</definedName>
    <definedName name="청구04" hidden="1">[1]내역서!#REF!</definedName>
    <definedName name="청구4" hidden="1">[3]내역서!#REF!</definedName>
    <definedName name="총괄표" hidden="1">{"'2분기예산별'!$B$2:$O$38"}</definedName>
    <definedName name="ㅌ" hidden="1">[4]내역서!#REF!</definedName>
    <definedName name="ㅏㅏ" hidden="1">{#N/A,#N/A,FALSE,"이력서&amp;자기소개서"}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7" i="1" l="1"/>
  <c r="J18" i="1"/>
  <c r="E20" i="1"/>
  <c r="J20" i="1"/>
  <c r="F26" i="1"/>
  <c r="M61" i="1"/>
  <c r="J61" i="1"/>
  <c r="J16" i="1"/>
  <c r="H61" i="1" l="1"/>
  <c r="I61" i="1" l="1"/>
  <c r="N61" i="1"/>
  <c r="O61" i="1"/>
  <c r="K61" i="1"/>
  <c r="L61" i="1" l="1"/>
  <c r="P61" i="1"/>
  <c r="J19" i="1" l="1"/>
  <c r="J21" i="1" s="1"/>
  <c r="I24" i="1" s="1"/>
  <c r="J24" i="1" l="1"/>
  <c r="J25" i="1"/>
  <c r="L25" i="1" l="1"/>
  <c r="L26" i="1" s="1"/>
  <c r="J26" i="1"/>
  <c r="N24" i="1"/>
  <c r="N26" i="1" l="1"/>
  <c r="N25" i="1"/>
</calcChain>
</file>

<file path=xl/sharedStrings.xml><?xml version="1.0" encoding="utf-8"?>
<sst xmlns="http://schemas.openxmlformats.org/spreadsheetml/2006/main" count="62" uniqueCount="61">
  <si>
    <t>당월 청구금액</t>
    <phoneticPr fontId="4" type="noConversion"/>
  </si>
  <si>
    <t>공백차감(2일)</t>
    <phoneticPr fontId="10" type="noConversion"/>
  </si>
  <si>
    <t>4대보험차액 (-)</t>
    <phoneticPr fontId="4" type="noConversion"/>
  </si>
  <si>
    <t>4대보험료
(실비정산)</t>
    <phoneticPr fontId="4" type="noConversion"/>
  </si>
  <si>
    <t>4대보험료
(견적서)</t>
    <phoneticPr fontId="4" type="noConversion"/>
  </si>
  <si>
    <t>퇴직금 귀속(-)</t>
    <phoneticPr fontId="4" type="noConversion"/>
  </si>
  <si>
    <t>연차귀속(-)</t>
    <phoneticPr fontId="4" type="noConversion"/>
  </si>
  <si>
    <t>월간용역비</t>
    <phoneticPr fontId="4" type="noConversion"/>
  </si>
  <si>
    <t>※ 공백 대근자 지원</t>
    <phoneticPr fontId="10" type="noConversion"/>
  </si>
  <si>
    <t>퇴직금</t>
    <phoneticPr fontId="4" type="noConversion"/>
  </si>
  <si>
    <t>직책</t>
    <phoneticPr fontId="4" type="noConversion"/>
  </si>
  <si>
    <t>총계</t>
    <phoneticPr fontId="23" type="noConversion"/>
  </si>
  <si>
    <t>산재보험
(1.116%)</t>
    <phoneticPr fontId="23" type="noConversion"/>
  </si>
  <si>
    <t>고용안정
(0.45%)</t>
    <phoneticPr fontId="10" type="noConversion"/>
  </si>
  <si>
    <t>실업급여(0.9%)</t>
    <phoneticPr fontId="10" type="noConversion"/>
  </si>
  <si>
    <t>장기요양
(13.14%)</t>
    <phoneticPr fontId="23" type="noConversion"/>
  </si>
  <si>
    <t>건강보험
(3.595%)</t>
    <phoneticPr fontId="23" type="noConversion"/>
  </si>
  <si>
    <t>국민연금
(4.75%)</t>
    <phoneticPr fontId="23" type="noConversion"/>
  </si>
  <si>
    <t>연차
수당</t>
    <phoneticPr fontId="4" type="noConversion"/>
  </si>
  <si>
    <t>퇴사일</t>
    <phoneticPr fontId="4" type="noConversion"/>
  </si>
  <si>
    <t>입사일</t>
    <phoneticPr fontId="4" type="noConversion"/>
  </si>
  <si>
    <t>생년
월일</t>
    <phoneticPr fontId="4" type="noConversion"/>
  </si>
  <si>
    <t>이름</t>
    <phoneticPr fontId="4" type="noConversion"/>
  </si>
  <si>
    <t>NO</t>
    <phoneticPr fontId="4" type="noConversion"/>
  </si>
  <si>
    <t>안산고잔5차푸르지오-10명</t>
    <phoneticPr fontId="4" type="noConversion"/>
  </si>
  <si>
    <t>주식회사 에코그린티엠  대표이사 </t>
    <phoneticPr fontId="4" type="noConversion"/>
  </si>
  <si>
    <t>2026. 03. 31.</t>
    <phoneticPr fontId="10" type="noConversion"/>
  </si>
  <si>
    <t xml:space="preserve">          2. 정산내역서</t>
    <phoneticPr fontId="4" type="noConversion"/>
  </si>
  <si>
    <t>첨부 :  1. 전자계산서</t>
    <phoneticPr fontId="4" type="noConversion"/>
  </si>
  <si>
    <t xml:space="preserve">2) 입금계좌 : 301-051564-01-017 (기업은행, 예금주: 에코그린티엠) </t>
    <phoneticPr fontId="4" type="noConversion"/>
  </si>
  <si>
    <t>청구합계</t>
    <phoneticPr fontId="4" type="noConversion"/>
  </si>
  <si>
    <t>135㎡ 초과</t>
    <phoneticPr fontId="4" type="noConversion"/>
  </si>
  <si>
    <t>135㎡ 이하</t>
    <phoneticPr fontId="4" type="noConversion"/>
  </si>
  <si>
    <t>합계금액</t>
    <phoneticPr fontId="4" type="noConversion"/>
  </si>
  <si>
    <t>세액</t>
    <phoneticPr fontId="4" type="noConversion"/>
  </si>
  <si>
    <t>공급가액</t>
    <phoneticPr fontId="4" type="noConversion"/>
  </si>
  <si>
    <t>단가</t>
    <phoneticPr fontId="4" type="noConversion"/>
  </si>
  <si>
    <t>공급면적(㎡)</t>
    <phoneticPr fontId="4" type="noConversion"/>
  </si>
  <si>
    <t>면적(㎡)</t>
    <phoneticPr fontId="4" type="noConversion"/>
  </si>
  <si>
    <t>합계</t>
    <phoneticPr fontId="4" type="noConversion"/>
  </si>
  <si>
    <t>결원공제</t>
    <phoneticPr fontId="10" type="noConversion"/>
  </si>
  <si>
    <t>상세내역 참조</t>
    <phoneticPr fontId="10" type="noConversion"/>
  </si>
  <si>
    <t>4대보험실비정산차액</t>
    <phoneticPr fontId="4" type="noConversion"/>
  </si>
  <si>
    <t>관리소 적립</t>
    <phoneticPr fontId="4" type="noConversion"/>
  </si>
  <si>
    <t>퇴직금적립</t>
    <phoneticPr fontId="4" type="noConversion"/>
  </si>
  <si>
    <t>연차적립</t>
    <phoneticPr fontId="4" type="noConversion"/>
  </si>
  <si>
    <t>월 계약금액</t>
    <phoneticPr fontId="10" type="noConversion"/>
  </si>
  <si>
    <t>경비용역비(월)</t>
    <phoneticPr fontId="4" type="noConversion"/>
  </si>
  <si>
    <t>2026.03.01~
2026.03.31</t>
    <phoneticPr fontId="4" type="noConversion"/>
  </si>
  <si>
    <t>비고</t>
    <phoneticPr fontId="4" type="noConversion"/>
  </si>
  <si>
    <t>산출금액</t>
    <phoneticPr fontId="4" type="noConversion"/>
  </si>
  <si>
    <t>구분(공제내역)</t>
    <phoneticPr fontId="4" type="noConversion"/>
  </si>
  <si>
    <t>산정기간</t>
    <phoneticPr fontId="4" type="noConversion"/>
  </si>
  <si>
    <t xml:space="preserve">-    아     래   -       </t>
  </si>
  <si>
    <t>        2. 당월 경비용역비를 아래와 같이 첨부하오니 검토하시여 결재를 부탁드립니다.</t>
    <phoneticPr fontId="4" type="noConversion"/>
  </si>
  <si>
    <t>        1. 귀 소의 무궁한 발전을 기원합니다.</t>
  </si>
  <si>
    <t> 제    목 :  경비용역비 청구의 건</t>
    <phoneticPr fontId="4" type="noConversion"/>
  </si>
  <si>
    <t> 수    신 :  안산고잔5차푸르지오 아파트 관리사무소</t>
    <phoneticPr fontId="4" type="noConversion"/>
  </si>
  <si>
    <t> 시행일자 : 2026.  03.  31.</t>
    <phoneticPr fontId="4" type="noConversion"/>
  </si>
  <si>
    <t> 문서번호 : 에코그린 2026-03-09호</t>
    <phoneticPr fontId="4" type="noConversion"/>
  </si>
  <si>
    <t>서울시   강서구 공항대로 325 에이스빌딩 7층 TEL. 02)355-3322   FAX. 02)355-3318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</si>
</sst>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_);_(* \(#,##0\);_(* &quot;-&quot;_);_(@_)"/>
    <numFmt numFmtId="177" formatCode="#,##0_ "/>
    <numFmt numFmtId="178" formatCode="000000\-0000000"/>
    <numFmt numFmtId="179" formatCode="_-* #,##0.000_-;\-* #,##0.000_-;_-* &quot;-&quot;_-;_-@_-"/>
    <numFmt numFmtId="180" formatCode="_-* #,##0.0_-;\-* #,##0.0_-;_-* &quot;-&quot;??_-;_-@_-"/>
  </numFmts>
  <fonts count="37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굴림"/>
      <family val="3"/>
      <charset val="129"/>
    </font>
    <font>
      <sz val="7"/>
      <color theme="1"/>
      <name val="굴림"/>
      <family val="3"/>
      <charset val="129"/>
    </font>
    <font>
      <sz val="11"/>
      <color theme="1"/>
      <name val="굴림"/>
      <family val="3"/>
      <charset val="129"/>
    </font>
    <font>
      <sz val="10"/>
      <color theme="1"/>
      <name val="굴림"/>
      <family val="3"/>
      <charset val="129"/>
    </font>
    <font>
      <sz val="8"/>
      <name val="맑은 고딕"/>
      <family val="3"/>
      <charset val="129"/>
      <scheme val="minor"/>
    </font>
    <font>
      <sz val="8"/>
      <color theme="1"/>
      <name val="굴림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9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9"/>
      <color theme="7" tint="0.79998168889431442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sz val="10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4"/>
      <color rgb="FF000000"/>
      <name val="굴림"/>
      <family val="3"/>
      <charset val="129"/>
    </font>
    <font>
      <b/>
      <sz val="11"/>
      <color rgb="FF0000FF"/>
      <name val="맑은 고딕"/>
      <family val="3"/>
      <charset val="129"/>
      <scheme val="minor"/>
    </font>
    <font>
      <sz val="19"/>
      <color rgb="FF000000"/>
      <name val="굴림"/>
      <family val="3"/>
      <charset val="129"/>
    </font>
    <font>
      <sz val="10"/>
      <color rgb="FF000000"/>
      <name val="굴림"/>
      <family val="3"/>
      <charset val="129"/>
    </font>
    <font>
      <b/>
      <sz val="10"/>
      <color rgb="FF000000"/>
      <name val="굴림"/>
      <family val="3"/>
      <charset val="129"/>
    </font>
    <font>
      <b/>
      <sz val="9"/>
      <color rgb="FF000000"/>
      <name val="굴림"/>
      <family val="3"/>
      <charset val="129"/>
    </font>
    <font>
      <sz val="9"/>
      <color rgb="FF000000"/>
      <name val="굴림"/>
      <family val="3"/>
      <charset val="129"/>
    </font>
    <font>
      <sz val="11"/>
      <color rgb="FF000000"/>
      <name val="굴림"/>
      <family val="3"/>
      <charset val="129"/>
    </font>
    <font>
      <sz val="12"/>
      <color rgb="FF000000"/>
      <name val="굴림"/>
      <family val="3"/>
      <charset val="129"/>
    </font>
    <font>
      <sz val="10"/>
      <color rgb="FF000000"/>
      <name val="함초롬바탕"/>
      <family val="1"/>
      <charset val="129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AF1DD"/>
        <bgColor indexed="64"/>
      </patternFill>
    </fill>
  </fills>
  <borders count="54">
    <border>
      <left/>
      <right/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/>
      <top style="hair">
        <color auto="1"/>
      </top>
      <bottom style="medium">
        <color indexed="64"/>
      </bottom>
      <diagonal/>
    </border>
    <border>
      <left/>
      <right style="hair">
        <color auto="1"/>
      </right>
      <top style="hair">
        <color auto="1"/>
      </top>
      <bottom style="medium">
        <color indexed="64"/>
      </bottom>
      <diagonal/>
    </border>
    <border>
      <left/>
      <right/>
      <top style="hair">
        <color auto="1"/>
      </top>
      <bottom style="medium">
        <color indexed="64"/>
      </bottom>
      <diagonal/>
    </border>
    <border>
      <left style="thin">
        <color auto="1"/>
      </left>
      <right/>
      <top style="hair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/>
      <top style="thin">
        <color indexed="64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auto="1"/>
      </top>
      <bottom style="thin">
        <color indexed="64"/>
      </bottom>
      <diagonal/>
    </border>
    <border>
      <left style="thin">
        <color indexed="64"/>
      </left>
      <right/>
      <top style="medium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auto="1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7">
    <xf numFmtId="0" fontId="0" fillId="0" borderId="0"/>
    <xf numFmtId="0" fontId="2" fillId="0" borderId="0">
      <alignment vertical="center"/>
    </xf>
    <xf numFmtId="0" fontId="5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0" borderId="0">
      <alignment vertical="center"/>
    </xf>
  </cellStyleXfs>
  <cellXfs count="160">
    <xf numFmtId="0" fontId="0" fillId="0" borderId="0" xfId="0"/>
    <xf numFmtId="0" fontId="2" fillId="0" borderId="0" xfId="1">
      <alignment vertical="center"/>
    </xf>
    <xf numFmtId="176" fontId="7" fillId="0" borderId="0" xfId="1" applyNumberFormat="1" applyFont="1">
      <alignment vertical="center"/>
    </xf>
    <xf numFmtId="0" fontId="9" fillId="0" borderId="0" xfId="1" applyFont="1">
      <alignment vertical="center"/>
    </xf>
    <xf numFmtId="0" fontId="0" fillId="0" borderId="0" xfId="0" applyAlignment="1">
      <alignment vertical="center"/>
    </xf>
    <xf numFmtId="0" fontId="16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8" fillId="0" borderId="0" xfId="2" applyFont="1">
      <alignment vertical="center"/>
    </xf>
    <xf numFmtId="0" fontId="17" fillId="0" borderId="0" xfId="1" applyFont="1" applyAlignment="1">
      <alignment horizontal="center" vertical="center"/>
    </xf>
    <xf numFmtId="0" fontId="13" fillId="0" borderId="0" xfId="1" applyFont="1" applyAlignment="1">
      <alignment vertical="center" shrinkToFit="1"/>
    </xf>
    <xf numFmtId="0" fontId="13" fillId="0" borderId="0" xfId="1" applyFont="1">
      <alignment vertical="center"/>
    </xf>
    <xf numFmtId="176" fontId="15" fillId="0" borderId="34" xfId="2" applyNumberFormat="1" applyFont="1" applyBorder="1" applyAlignment="1">
      <alignment vertical="center" shrinkToFit="1"/>
    </xf>
    <xf numFmtId="176" fontId="15" fillId="0" borderId="35" xfId="2" applyNumberFormat="1" applyFont="1" applyBorder="1" applyAlignment="1">
      <alignment vertical="center" shrinkToFit="1"/>
    </xf>
    <xf numFmtId="176" fontId="15" fillId="0" borderId="36" xfId="2" applyNumberFormat="1" applyFont="1" applyBorder="1" applyAlignment="1">
      <alignment vertical="center" shrinkToFit="1"/>
    </xf>
    <xf numFmtId="176" fontId="18" fillId="0" borderId="32" xfId="1" applyNumberFormat="1" applyFont="1" applyBorder="1" applyAlignment="1">
      <alignment vertical="center" shrinkToFit="1"/>
    </xf>
    <xf numFmtId="0" fontId="12" fillId="0" borderId="32" xfId="1" applyFont="1" applyBorder="1" applyAlignment="1">
      <alignment vertical="center" shrinkToFit="1"/>
    </xf>
    <xf numFmtId="0" fontId="12" fillId="0" borderId="33" xfId="0" applyFont="1" applyBorder="1" applyAlignment="1">
      <alignment vertical="center"/>
    </xf>
    <xf numFmtId="176" fontId="15" fillId="0" borderId="37" xfId="2" applyNumberFormat="1" applyFont="1" applyBorder="1" applyAlignment="1">
      <alignment vertical="center" shrinkToFit="1"/>
    </xf>
    <xf numFmtId="176" fontId="15" fillId="3" borderId="28" xfId="2" applyNumberFormat="1" applyFont="1" applyFill="1" applyBorder="1" applyAlignment="1">
      <alignment vertical="center" shrinkToFit="1"/>
    </xf>
    <xf numFmtId="176" fontId="15" fillId="4" borderId="28" xfId="2" applyNumberFormat="1" applyFont="1" applyFill="1" applyBorder="1" applyAlignment="1">
      <alignment vertical="center" shrinkToFit="1"/>
    </xf>
    <xf numFmtId="176" fontId="15" fillId="0" borderId="28" xfId="2" applyNumberFormat="1" applyFont="1" applyBorder="1" applyAlignment="1">
      <alignment vertical="center" shrinkToFit="1"/>
    </xf>
    <xf numFmtId="176" fontId="19" fillId="4" borderId="38" xfId="2" applyNumberFormat="1" applyFont="1" applyFill="1" applyBorder="1" applyAlignment="1">
      <alignment vertical="center" shrinkToFit="1"/>
    </xf>
    <xf numFmtId="176" fontId="15" fillId="3" borderId="39" xfId="2" applyNumberFormat="1" applyFont="1" applyFill="1" applyBorder="1" applyAlignment="1">
      <alignment vertical="center" shrinkToFit="1"/>
    </xf>
    <xf numFmtId="176" fontId="15" fillId="0" borderId="28" xfId="3" applyFont="1" applyBorder="1" applyAlignment="1">
      <alignment horizontal="center" vertical="center" shrinkToFit="1"/>
    </xf>
    <xf numFmtId="14" fontId="20" fillId="3" borderId="24" xfId="1" applyNumberFormat="1" applyFont="1" applyFill="1" applyBorder="1" applyAlignment="1">
      <alignment horizontal="center" vertical="center" shrinkToFit="1"/>
    </xf>
    <xf numFmtId="14" fontId="15" fillId="3" borderId="24" xfId="1" applyNumberFormat="1" applyFont="1" applyFill="1" applyBorder="1" applyAlignment="1">
      <alignment horizontal="center" vertical="center" shrinkToFit="1"/>
    </xf>
    <xf numFmtId="0" fontId="19" fillId="0" borderId="24" xfId="1" applyFont="1" applyBorder="1" applyAlignment="1">
      <alignment horizontal="center" vertical="center" shrinkToFit="1"/>
    </xf>
    <xf numFmtId="0" fontId="21" fillId="0" borderId="28" xfId="0" applyFont="1" applyBorder="1" applyAlignment="1">
      <alignment horizontal="center" vertical="center"/>
    </xf>
    <xf numFmtId="0" fontId="19" fillId="3" borderId="24" xfId="1" applyFont="1" applyFill="1" applyBorder="1" applyAlignment="1">
      <alignment horizontal="center" vertical="center" shrinkToFit="1"/>
    </xf>
    <xf numFmtId="0" fontId="5" fillId="0" borderId="40" xfId="1" applyFont="1" applyBorder="1" applyAlignment="1">
      <alignment horizontal="center" vertical="center" shrinkToFit="1"/>
    </xf>
    <xf numFmtId="176" fontId="15" fillId="4" borderId="24" xfId="2" applyNumberFormat="1" applyFont="1" applyFill="1" applyBorder="1" applyAlignment="1">
      <alignment vertical="center" shrinkToFit="1"/>
    </xf>
    <xf numFmtId="14" fontId="20" fillId="3" borderId="28" xfId="1" applyNumberFormat="1" applyFont="1" applyFill="1" applyBorder="1" applyAlignment="1">
      <alignment horizontal="center" vertical="center" shrinkToFit="1"/>
    </xf>
    <xf numFmtId="14" fontId="19" fillId="3" borderId="28" xfId="1" applyNumberFormat="1" applyFont="1" applyFill="1" applyBorder="1" applyAlignment="1">
      <alignment horizontal="center" vertical="center" shrinkToFit="1"/>
    </xf>
    <xf numFmtId="176" fontId="15" fillId="3" borderId="7" xfId="2" applyNumberFormat="1" applyFont="1" applyFill="1" applyBorder="1" applyAlignment="1">
      <alignment vertical="center" shrinkToFit="1"/>
    </xf>
    <xf numFmtId="176" fontId="15" fillId="0" borderId="24" xfId="3" applyFont="1" applyBorder="1" applyAlignment="1">
      <alignment horizontal="center" vertical="center" shrinkToFit="1"/>
    </xf>
    <xf numFmtId="14" fontId="22" fillId="3" borderId="28" xfId="1" applyNumberFormat="1" applyFont="1" applyFill="1" applyBorder="1" applyAlignment="1">
      <alignment horizontal="center" vertical="center" shrinkToFit="1"/>
    </xf>
    <xf numFmtId="14" fontId="15" fillId="3" borderId="28" xfId="1" applyNumberFormat="1" applyFont="1" applyFill="1" applyBorder="1" applyAlignment="1">
      <alignment horizontal="center" vertical="center" shrinkToFit="1"/>
    </xf>
    <xf numFmtId="0" fontId="19" fillId="0" borderId="28" xfId="1" applyFont="1" applyBorder="1" applyAlignment="1">
      <alignment horizontal="center" vertical="center" shrinkToFit="1"/>
    </xf>
    <xf numFmtId="0" fontId="19" fillId="3" borderId="28" xfId="1" applyFont="1" applyFill="1" applyBorder="1" applyAlignment="1">
      <alignment horizontal="center" vertical="center" shrinkToFit="1"/>
    </xf>
    <xf numFmtId="0" fontId="21" fillId="0" borderId="24" xfId="0" applyFont="1" applyBorder="1" applyAlignment="1">
      <alignment horizontal="center" vertical="center" wrapText="1"/>
    </xf>
    <xf numFmtId="14" fontId="12" fillId="3" borderId="24" xfId="1" applyNumberFormat="1" applyFont="1" applyFill="1" applyBorder="1" applyAlignment="1">
      <alignment horizontal="center" vertical="center" shrinkToFit="1"/>
    </xf>
    <xf numFmtId="14" fontId="19" fillId="0" borderId="28" xfId="1" applyNumberFormat="1" applyFont="1" applyBorder="1" applyAlignment="1">
      <alignment horizontal="center" vertical="center" shrinkToFit="1"/>
    </xf>
    <xf numFmtId="176" fontId="15" fillId="0" borderId="41" xfId="2" applyNumberFormat="1" applyFont="1" applyBorder="1" applyAlignment="1">
      <alignment vertical="center" shrinkToFit="1"/>
    </xf>
    <xf numFmtId="176" fontId="19" fillId="4" borderId="40" xfId="2" applyNumberFormat="1" applyFont="1" applyFill="1" applyBorder="1" applyAlignment="1">
      <alignment vertical="center" shrinkToFit="1"/>
    </xf>
    <xf numFmtId="14" fontId="12" fillId="3" borderId="28" xfId="1" applyNumberFormat="1" applyFont="1" applyFill="1" applyBorder="1" applyAlignment="1">
      <alignment horizontal="center" vertical="center" shrinkToFit="1"/>
    </xf>
    <xf numFmtId="0" fontId="2" fillId="0" borderId="0" xfId="1" applyAlignment="1">
      <alignment vertical="center" wrapText="1"/>
    </xf>
    <xf numFmtId="176" fontId="12" fillId="5" borderId="42" xfId="2" applyNumberFormat="1" applyFont="1" applyFill="1" applyBorder="1" applyAlignment="1">
      <alignment horizontal="center" vertical="center" wrapText="1" shrinkToFit="1"/>
    </xf>
    <xf numFmtId="176" fontId="24" fillId="5" borderId="43" xfId="2" applyNumberFormat="1" applyFont="1" applyFill="1" applyBorder="1" applyAlignment="1">
      <alignment horizontal="center" vertical="center" wrapText="1" shrinkToFit="1"/>
    </xf>
    <xf numFmtId="176" fontId="24" fillId="5" borderId="43" xfId="5" applyNumberFormat="1" applyFont="1" applyFill="1" applyBorder="1" applyAlignment="1">
      <alignment horizontal="center" vertical="center" wrapText="1" shrinkToFit="1"/>
    </xf>
    <xf numFmtId="176" fontId="24" fillId="5" borderId="44" xfId="2" applyNumberFormat="1" applyFont="1" applyFill="1" applyBorder="1" applyAlignment="1">
      <alignment horizontal="center" vertical="center" wrapText="1" shrinkToFit="1"/>
    </xf>
    <xf numFmtId="0" fontId="22" fillId="5" borderId="45" xfId="1" applyFont="1" applyFill="1" applyBorder="1" applyAlignment="1">
      <alignment horizontal="center" vertical="center" wrapText="1" shrinkToFit="1"/>
    </xf>
    <xf numFmtId="0" fontId="22" fillId="5" borderId="43" xfId="1" applyFont="1" applyFill="1" applyBorder="1" applyAlignment="1">
      <alignment horizontal="center" vertical="center" wrapText="1" shrinkToFit="1"/>
    </xf>
    <xf numFmtId="178" fontId="22" fillId="5" borderId="43" xfId="1" applyNumberFormat="1" applyFont="1" applyFill="1" applyBorder="1" applyAlignment="1">
      <alignment horizontal="center" vertical="center" wrapText="1" shrinkToFit="1"/>
    </xf>
    <xf numFmtId="0" fontId="22" fillId="5" borderId="46" xfId="1" applyFont="1" applyFill="1" applyBorder="1" applyAlignment="1">
      <alignment horizontal="center" vertical="center" wrapText="1" shrinkToFit="1"/>
    </xf>
    <xf numFmtId="0" fontId="12" fillId="5" borderId="44" xfId="1" applyFont="1" applyFill="1" applyBorder="1" applyAlignment="1">
      <alignment horizontal="center" vertical="center" shrinkToFit="1"/>
    </xf>
    <xf numFmtId="176" fontId="5" fillId="0" borderId="0" xfId="3" applyFont="1">
      <alignment vertical="center"/>
    </xf>
    <xf numFmtId="0" fontId="26" fillId="0" borderId="0" xfId="1" applyFont="1" applyAlignment="1">
      <alignment horizontal="center" vertical="center"/>
    </xf>
    <xf numFmtId="0" fontId="2" fillId="0" borderId="0" xfId="1" applyAlignment="1">
      <alignment horizontal="center" vertical="center"/>
    </xf>
    <xf numFmtId="0" fontId="28" fillId="0" borderId="0" xfId="1" applyFont="1" applyAlignment="1">
      <alignment horizontal="left" vertical="center"/>
    </xf>
    <xf numFmtId="0" fontId="1" fillId="0" borderId="0" xfId="1" applyFont="1">
      <alignment vertical="center"/>
    </xf>
    <xf numFmtId="0" fontId="29" fillId="0" borderId="0" xfId="1" applyFont="1" applyAlignment="1">
      <alignment horizontal="center" vertical="center"/>
    </xf>
    <xf numFmtId="0" fontId="30" fillId="0" borderId="0" xfId="1" applyFont="1">
      <alignment vertical="center"/>
    </xf>
    <xf numFmtId="0" fontId="30" fillId="0" borderId="0" xfId="1" applyFont="1" applyAlignment="1">
      <alignment vertical="center" wrapText="1"/>
    </xf>
    <xf numFmtId="0" fontId="3" fillId="0" borderId="0" xfId="1" applyFont="1">
      <alignment vertical="center"/>
    </xf>
    <xf numFmtId="176" fontId="31" fillId="0" borderId="24" xfId="3" applyFont="1" applyBorder="1" applyAlignment="1">
      <alignment horizontal="center" vertical="center" wrapText="1"/>
    </xf>
    <xf numFmtId="0" fontId="31" fillId="0" borderId="24" xfId="1" applyFont="1" applyBorder="1" applyAlignment="1">
      <alignment horizontal="center" vertical="center" wrapText="1"/>
    </xf>
    <xf numFmtId="176" fontId="30" fillId="0" borderId="24" xfId="3" applyFont="1" applyBorder="1" applyAlignment="1">
      <alignment horizontal="center" vertical="center" wrapText="1"/>
    </xf>
    <xf numFmtId="0" fontId="30" fillId="0" borderId="24" xfId="1" applyFont="1" applyBorder="1" applyAlignment="1">
      <alignment horizontal="center" vertical="center" wrapText="1"/>
    </xf>
    <xf numFmtId="0" fontId="8" fillId="0" borderId="0" xfId="1" applyFont="1">
      <alignment vertical="center"/>
    </xf>
    <xf numFmtId="3" fontId="30" fillId="0" borderId="0" xfId="1" applyNumberFormat="1" applyFont="1" applyAlignment="1">
      <alignment horizontal="center" vertical="center" wrapText="1"/>
    </xf>
    <xf numFmtId="0" fontId="33" fillId="0" borderId="0" xfId="1" applyFont="1" applyAlignment="1">
      <alignment horizontal="center" vertical="center" wrapText="1"/>
    </xf>
    <xf numFmtId="0" fontId="30" fillId="0" borderId="0" xfId="1" applyFont="1" applyAlignment="1">
      <alignment horizontal="center" vertical="center" wrapText="1"/>
    </xf>
    <xf numFmtId="177" fontId="30" fillId="0" borderId="0" xfId="3" applyNumberFormat="1" applyFont="1" applyBorder="1" applyAlignment="1">
      <alignment vertical="center" wrapText="1"/>
    </xf>
    <xf numFmtId="0" fontId="9" fillId="0" borderId="25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50" xfId="1" applyFont="1" applyBorder="1" applyAlignment="1">
      <alignment horizontal="center" vertical="center" wrapText="1"/>
    </xf>
    <xf numFmtId="0" fontId="2" fillId="0" borderId="12" xfId="1" applyBorder="1">
      <alignment vertical="center"/>
    </xf>
    <xf numFmtId="0" fontId="36" fillId="0" borderId="0" xfId="1" applyFont="1" applyAlignment="1">
      <alignment horizontal="justify" vertical="center"/>
    </xf>
    <xf numFmtId="0" fontId="2" fillId="0" borderId="0" xfId="1" applyAlignment="1">
      <alignment horizontal="justify" vertical="center"/>
    </xf>
    <xf numFmtId="0" fontId="34" fillId="6" borderId="0" xfId="1" applyFont="1" applyFill="1" applyAlignment="1">
      <alignment horizontal="distributed" vertical="center" wrapText="1"/>
    </xf>
    <xf numFmtId="0" fontId="35" fillId="0" borderId="0" xfId="6" applyFont="1" applyAlignment="1">
      <alignment horizontal="left" vertical="center" wrapText="1"/>
    </xf>
    <xf numFmtId="0" fontId="35" fillId="0" borderId="0" xfId="1" applyFont="1" applyAlignment="1">
      <alignment horizontal="left" vertical="center" wrapText="1"/>
    </xf>
    <xf numFmtId="0" fontId="34" fillId="0" borderId="0" xfId="1" applyFont="1" applyAlignment="1">
      <alignment horizontal="left" vertical="center" wrapText="1"/>
    </xf>
    <xf numFmtId="0" fontId="30" fillId="0" borderId="0" xfId="1" applyFont="1" applyAlignment="1">
      <alignment horizontal="center" vertical="center" wrapText="1"/>
    </xf>
    <xf numFmtId="0" fontId="6" fillId="0" borderId="24" xfId="1" applyFont="1" applyBorder="1" applyAlignment="1">
      <alignment horizontal="center" vertical="center"/>
    </xf>
    <xf numFmtId="0" fontId="31" fillId="0" borderId="24" xfId="1" applyFont="1" applyBorder="1" applyAlignment="1">
      <alignment horizontal="center" vertical="center" wrapText="1"/>
    </xf>
    <xf numFmtId="0" fontId="31" fillId="0" borderId="7" xfId="1" applyFont="1" applyBorder="1" applyAlignment="1">
      <alignment horizontal="center" vertical="center" wrapText="1"/>
    </xf>
    <xf numFmtId="0" fontId="31" fillId="0" borderId="8" xfId="1" applyFont="1" applyBorder="1" applyAlignment="1">
      <alignment horizontal="center" vertical="center" wrapText="1"/>
    </xf>
    <xf numFmtId="0" fontId="31" fillId="0" borderId="6" xfId="1" applyFont="1" applyBorder="1" applyAlignment="1">
      <alignment horizontal="center" vertical="center" wrapText="1"/>
    </xf>
    <xf numFmtId="0" fontId="9" fillId="0" borderId="53" xfId="1" applyFont="1" applyBorder="1" applyAlignment="1">
      <alignment horizontal="center" vertical="center" wrapText="1"/>
    </xf>
    <xf numFmtId="0" fontId="9" fillId="0" borderId="52" xfId="1" applyFont="1" applyBorder="1" applyAlignment="1">
      <alignment horizontal="center" vertical="center" wrapText="1"/>
    </xf>
    <xf numFmtId="0" fontId="9" fillId="0" borderId="51" xfId="1" applyFont="1" applyBorder="1" applyAlignment="1">
      <alignment horizontal="center" vertical="center" wrapText="1"/>
    </xf>
    <xf numFmtId="0" fontId="9" fillId="0" borderId="50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25" xfId="1" applyFont="1" applyBorder="1" applyAlignment="1">
      <alignment horizontal="center" vertical="center" wrapText="1"/>
    </xf>
    <xf numFmtId="0" fontId="30" fillId="0" borderId="24" xfId="1" applyFont="1" applyBorder="1" applyAlignment="1">
      <alignment horizontal="center" vertical="center" wrapText="1"/>
    </xf>
    <xf numFmtId="177" fontId="30" fillId="0" borderId="24" xfId="3" applyNumberFormat="1" applyFont="1" applyBorder="1" applyAlignment="1">
      <alignment horizontal="right" vertical="center"/>
    </xf>
    <xf numFmtId="177" fontId="30" fillId="0" borderId="7" xfId="3" applyNumberFormat="1" applyFont="1" applyBorder="1" applyAlignment="1">
      <alignment horizontal="center" vertical="center" wrapText="1"/>
    </xf>
    <xf numFmtId="177" fontId="30" fillId="0" borderId="8" xfId="3" applyNumberFormat="1" applyFont="1" applyBorder="1" applyAlignment="1">
      <alignment horizontal="center" vertical="center" wrapText="1"/>
    </xf>
    <xf numFmtId="177" fontId="30" fillId="0" borderId="6" xfId="3" applyNumberFormat="1" applyFont="1" applyBorder="1" applyAlignment="1">
      <alignment horizontal="center" vertical="center" wrapText="1"/>
    </xf>
    <xf numFmtId="0" fontId="30" fillId="0" borderId="7" xfId="1" applyFont="1" applyBorder="1" applyAlignment="1">
      <alignment horizontal="center" vertical="center" wrapText="1"/>
    </xf>
    <xf numFmtId="0" fontId="30" fillId="0" borderId="8" xfId="1" applyFont="1" applyBorder="1" applyAlignment="1">
      <alignment horizontal="center" vertical="center" wrapText="1"/>
    </xf>
    <xf numFmtId="0" fontId="30" fillId="0" borderId="6" xfId="1" applyFont="1" applyBorder="1" applyAlignment="1">
      <alignment horizontal="center" vertical="center" wrapText="1"/>
    </xf>
    <xf numFmtId="177" fontId="30" fillId="0" borderId="7" xfId="3" applyNumberFormat="1" applyFont="1" applyBorder="1" applyAlignment="1">
      <alignment horizontal="right" vertical="center"/>
    </xf>
    <xf numFmtId="177" fontId="30" fillId="0" borderId="8" xfId="3" applyNumberFormat="1" applyFont="1" applyBorder="1" applyAlignment="1">
      <alignment horizontal="right" vertical="center"/>
    </xf>
    <xf numFmtId="177" fontId="30" fillId="0" borderId="6" xfId="3" applyNumberFormat="1" applyFont="1" applyBorder="1" applyAlignment="1">
      <alignment horizontal="right" vertical="center"/>
    </xf>
    <xf numFmtId="0" fontId="8" fillId="0" borderId="24" xfId="1" applyFont="1" applyBorder="1" applyAlignment="1">
      <alignment horizontal="center" vertical="center"/>
    </xf>
    <xf numFmtId="0" fontId="33" fillId="0" borderId="24" xfId="1" applyFont="1" applyBorder="1" applyAlignment="1">
      <alignment horizontal="center" vertical="center" wrapText="1"/>
    </xf>
    <xf numFmtId="3" fontId="30" fillId="0" borderId="24" xfId="1" applyNumberFormat="1" applyFont="1" applyBorder="1" applyAlignment="1">
      <alignment horizontal="center" vertical="center" wrapText="1"/>
    </xf>
    <xf numFmtId="179" fontId="30" fillId="0" borderId="24" xfId="3" applyNumberFormat="1" applyFont="1" applyBorder="1" applyAlignment="1">
      <alignment horizontal="center" vertical="center" wrapText="1"/>
    </xf>
    <xf numFmtId="180" fontId="30" fillId="0" borderId="24" xfId="1" applyNumberFormat="1" applyFont="1" applyBorder="1" applyAlignment="1">
      <alignment horizontal="center" vertical="center" wrapText="1"/>
    </xf>
    <xf numFmtId="176" fontId="30" fillId="0" borderId="24" xfId="3" applyFont="1" applyBorder="1" applyAlignment="1">
      <alignment horizontal="center" vertical="center" wrapText="1"/>
    </xf>
    <xf numFmtId="176" fontId="33" fillId="0" borderId="24" xfId="3" applyFont="1" applyBorder="1" applyAlignment="1">
      <alignment horizontal="center" vertical="center" wrapText="1"/>
    </xf>
    <xf numFmtId="179" fontId="31" fillId="0" borderId="24" xfId="1" applyNumberFormat="1" applyFont="1" applyBorder="1" applyAlignment="1">
      <alignment horizontal="center" vertical="center" wrapText="1"/>
    </xf>
    <xf numFmtId="176" fontId="31" fillId="0" borderId="24" xfId="3" applyFont="1" applyBorder="1" applyAlignment="1">
      <alignment horizontal="center" vertical="center" wrapText="1"/>
    </xf>
    <xf numFmtId="176" fontId="32" fillId="0" borderId="24" xfId="3" applyFont="1" applyBorder="1" applyAlignment="1">
      <alignment horizontal="center" vertical="center" wrapText="1"/>
    </xf>
    <xf numFmtId="0" fontId="27" fillId="0" borderId="0" xfId="1" applyFont="1" applyAlignment="1">
      <alignment horizontal="center" vertical="center" wrapText="1"/>
    </xf>
    <xf numFmtId="0" fontId="26" fillId="0" borderId="0" xfId="1" applyFont="1" applyAlignment="1">
      <alignment horizontal="center" vertical="center"/>
    </xf>
    <xf numFmtId="0" fontId="25" fillId="0" borderId="49" xfId="1" applyFont="1" applyBorder="1" applyAlignment="1">
      <alignment horizontal="center" vertical="center"/>
    </xf>
    <xf numFmtId="0" fontId="25" fillId="0" borderId="48" xfId="1" applyFont="1" applyBorder="1" applyAlignment="1">
      <alignment horizontal="center" vertical="center"/>
    </xf>
    <xf numFmtId="0" fontId="25" fillId="0" borderId="47" xfId="1" applyFont="1" applyBorder="1" applyAlignment="1">
      <alignment horizontal="center" vertical="center"/>
    </xf>
    <xf numFmtId="0" fontId="6" fillId="2" borderId="33" xfId="2" applyFont="1" applyFill="1" applyBorder="1" applyAlignment="1">
      <alignment horizontal="center" vertical="center" shrinkToFit="1"/>
    </xf>
    <xf numFmtId="0" fontId="6" fillId="2" borderId="32" xfId="2" applyFont="1" applyFill="1" applyBorder="1" applyAlignment="1">
      <alignment horizontal="center" vertical="center" shrinkToFit="1"/>
    </xf>
    <xf numFmtId="0" fontId="6" fillId="2" borderId="31" xfId="2" applyFont="1" applyFill="1" applyBorder="1" applyAlignment="1">
      <alignment horizontal="center" vertical="center" shrinkToFit="1"/>
    </xf>
    <xf numFmtId="177" fontId="6" fillId="2" borderId="30" xfId="2" applyNumberFormat="1" applyFont="1" applyFill="1" applyBorder="1" applyAlignment="1">
      <alignment horizontal="right" vertical="center" shrinkToFit="1"/>
    </xf>
    <xf numFmtId="177" fontId="6" fillId="2" borderId="29" xfId="2" applyNumberFormat="1" applyFont="1" applyFill="1" applyBorder="1" applyAlignment="1">
      <alignment horizontal="right" vertical="center" shrinkToFit="1"/>
    </xf>
    <xf numFmtId="0" fontId="8" fillId="0" borderId="28" xfId="2" applyFont="1" applyBorder="1" applyAlignment="1">
      <alignment horizontal="center" vertical="center" shrinkToFit="1"/>
    </xf>
    <xf numFmtId="177" fontId="8" fillId="0" borderId="27" xfId="2" applyNumberFormat="1" applyFont="1" applyBorder="1" applyAlignment="1">
      <alignment horizontal="right" vertical="center" shrinkToFit="1"/>
    </xf>
    <xf numFmtId="177" fontId="8" fillId="0" borderId="26" xfId="2" applyNumberFormat="1" applyFont="1" applyBorder="1" applyAlignment="1">
      <alignment horizontal="right" vertical="center" shrinkToFit="1"/>
    </xf>
    <xf numFmtId="177" fontId="8" fillId="0" borderId="10" xfId="2" applyNumberFormat="1" applyFont="1" applyBorder="1" applyAlignment="1">
      <alignment horizontal="right" vertical="center" shrinkToFit="1"/>
    </xf>
    <xf numFmtId="177" fontId="8" fillId="0" borderId="9" xfId="2" applyNumberFormat="1" applyFont="1" applyBorder="1" applyAlignment="1">
      <alignment horizontal="right" vertical="center" shrinkToFit="1"/>
    </xf>
    <xf numFmtId="0" fontId="15" fillId="0" borderId="0" xfId="0" applyFont="1" applyAlignment="1">
      <alignment horizontal="left" vertical="center"/>
    </xf>
    <xf numFmtId="0" fontId="15" fillId="0" borderId="25" xfId="0" applyFont="1" applyBorder="1" applyAlignment="1">
      <alignment horizontal="left" vertical="center"/>
    </xf>
    <xf numFmtId="0" fontId="8" fillId="0" borderId="24" xfId="2" applyFont="1" applyBorder="1" applyAlignment="1">
      <alignment horizontal="center" vertical="center" shrinkToFit="1"/>
    </xf>
    <xf numFmtId="177" fontId="8" fillId="0" borderId="7" xfId="2" applyNumberFormat="1" applyFont="1" applyBorder="1" applyAlignment="1">
      <alignment horizontal="right" vertical="center" shrinkToFit="1"/>
    </xf>
    <xf numFmtId="177" fontId="8" fillId="0" borderId="6" xfId="2" applyNumberFormat="1" applyFont="1" applyBorder="1" applyAlignment="1">
      <alignment horizontal="right" vertical="center" shrinkToFit="1"/>
    </xf>
    <xf numFmtId="176" fontId="11" fillId="0" borderId="23" xfId="2" applyNumberFormat="1" applyFont="1" applyBorder="1" applyAlignment="1">
      <alignment horizontal="center" vertical="center" shrinkToFit="1"/>
    </xf>
    <xf numFmtId="176" fontId="11" fillId="0" borderId="22" xfId="2" applyNumberFormat="1" applyFont="1" applyBorder="1" applyAlignment="1">
      <alignment horizontal="center" vertical="center" shrinkToFit="1"/>
    </xf>
    <xf numFmtId="176" fontId="11" fillId="0" borderId="21" xfId="2" applyNumberFormat="1" applyFont="1" applyBorder="1" applyAlignment="1">
      <alignment horizontal="center" vertical="center" shrinkToFit="1"/>
    </xf>
    <xf numFmtId="177" fontId="14" fillId="3" borderId="20" xfId="2" applyNumberFormat="1" applyFont="1" applyFill="1" applyBorder="1" applyAlignment="1">
      <alignment horizontal="right" vertical="center" shrinkToFit="1"/>
    </xf>
    <xf numFmtId="177" fontId="14" fillId="3" borderId="19" xfId="2" applyNumberFormat="1" applyFont="1" applyFill="1" applyBorder="1" applyAlignment="1">
      <alignment horizontal="right" vertical="center" shrinkToFit="1"/>
    </xf>
    <xf numFmtId="0" fontId="9" fillId="0" borderId="7" xfId="2" applyFont="1" applyBorder="1" applyAlignment="1">
      <alignment horizontal="center" vertical="center" shrinkToFit="1"/>
    </xf>
    <xf numFmtId="0" fontId="9" fillId="0" borderId="8" xfId="2" applyFont="1" applyBorder="1" applyAlignment="1">
      <alignment horizontal="center" vertical="center" shrinkToFit="1"/>
    </xf>
    <xf numFmtId="0" fontId="9" fillId="0" borderId="6" xfId="2" applyFont="1" applyBorder="1" applyAlignment="1">
      <alignment horizontal="center" vertical="center" shrinkToFit="1"/>
    </xf>
    <xf numFmtId="0" fontId="6" fillId="2" borderId="5" xfId="2" applyFont="1" applyFill="1" applyBorder="1" applyAlignment="1">
      <alignment horizontal="center" vertical="center" shrinkToFit="1"/>
    </xf>
    <xf numFmtId="0" fontId="6" fillId="2" borderId="4" xfId="2" applyFont="1" applyFill="1" applyBorder="1" applyAlignment="1">
      <alignment horizontal="center" vertical="center" shrinkToFit="1"/>
    </xf>
    <xf numFmtId="0" fontId="6" fillId="2" borderId="3" xfId="2" applyFont="1" applyFill="1" applyBorder="1" applyAlignment="1">
      <alignment horizontal="center" vertical="center" shrinkToFit="1"/>
    </xf>
    <xf numFmtId="177" fontId="6" fillId="2" borderId="2" xfId="2" applyNumberFormat="1" applyFont="1" applyFill="1" applyBorder="1" applyAlignment="1">
      <alignment horizontal="right" vertical="center" shrinkToFit="1"/>
    </xf>
    <xf numFmtId="177" fontId="6" fillId="2" borderId="1" xfId="2" applyNumberFormat="1" applyFont="1" applyFill="1" applyBorder="1" applyAlignment="1">
      <alignment horizontal="right" vertical="center" shrinkToFit="1"/>
    </xf>
    <xf numFmtId="0" fontId="13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/>
    </xf>
    <xf numFmtId="176" fontId="11" fillId="0" borderId="18" xfId="2" applyNumberFormat="1" applyFont="1" applyBorder="1" applyAlignment="1">
      <alignment horizontal="center" vertical="center" shrinkToFit="1"/>
    </xf>
    <xf numFmtId="176" fontId="11" fillId="0" borderId="17" xfId="2" applyNumberFormat="1" applyFont="1" applyBorder="1" applyAlignment="1">
      <alignment horizontal="center" vertical="center" shrinkToFit="1"/>
    </xf>
    <xf numFmtId="176" fontId="11" fillId="0" borderId="16" xfId="2" applyNumberFormat="1" applyFont="1" applyBorder="1" applyAlignment="1">
      <alignment horizontal="center" vertical="center" shrinkToFit="1"/>
    </xf>
    <xf numFmtId="177" fontId="8" fillId="0" borderId="15" xfId="2" applyNumberFormat="1" applyFont="1" applyBorder="1" applyAlignment="1">
      <alignment horizontal="right" vertical="center" shrinkToFit="1"/>
    </xf>
    <xf numFmtId="177" fontId="8" fillId="0" borderId="14" xfId="2" applyNumberFormat="1" applyFont="1" applyBorder="1" applyAlignment="1">
      <alignment horizontal="right" vertical="center" shrinkToFit="1"/>
    </xf>
    <xf numFmtId="0" fontId="9" fillId="0" borderId="0" xfId="1" applyFont="1" applyAlignment="1">
      <alignment horizontal="left" vertical="center"/>
    </xf>
    <xf numFmtId="0" fontId="9" fillId="0" borderId="13" xfId="2" applyFont="1" applyBorder="1" applyAlignment="1">
      <alignment horizontal="center" vertical="center" shrinkToFit="1"/>
    </xf>
    <xf numFmtId="0" fontId="9" fillId="0" borderId="12" xfId="2" applyFont="1" applyBorder="1" applyAlignment="1">
      <alignment horizontal="center" vertical="center" shrinkToFit="1"/>
    </xf>
    <xf numFmtId="0" fontId="9" fillId="0" borderId="11" xfId="2" applyFont="1" applyBorder="1" applyAlignment="1">
      <alignment horizontal="center" vertical="center" shrinkToFit="1"/>
    </xf>
  </cellXfs>
  <cellStyles count="7">
    <cellStyle name="쉼표 [0] 2 2" xfId="4" xr:uid="{79A0163D-A85A-483F-BF45-F0DC7CC06665}"/>
    <cellStyle name="쉼표 [0] 3" xfId="3" xr:uid="{2CEBE651-BA15-4C86-94F3-118F68C66C13}"/>
    <cellStyle name="표준" xfId="0" builtinId="0"/>
    <cellStyle name="표준 2 6" xfId="2" xr:uid="{6D0E8ED8-B9E6-471D-A8BA-ED96B2AE917F}"/>
    <cellStyle name="표준 3" xfId="1" xr:uid="{968242CC-D0EE-412D-A66A-E1B29FE83576}"/>
    <cellStyle name="표준 5 2 2" xfId="5" xr:uid="{80783A28-2D51-4319-A372-E1B7021C84AD}"/>
    <cellStyle name="표준 7" xfId="6" xr:uid="{F2F1A4B7-EDD3-4ED6-9330-FBCEE22CC8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517551</xdr:colOff>
      <xdr:row>0</xdr:row>
      <xdr:rowOff>0</xdr:rowOff>
    </xdr:from>
    <xdr:ext cx="3041422" cy="890379"/>
    <xdr:pic>
      <xdr:nvPicPr>
        <xdr:cNvPr id="2" name="그림 1" descr="에코그린-한글.png">
          <a:extLst>
            <a:ext uri="{FF2B5EF4-FFF2-40B4-BE49-F238E27FC236}">
              <a16:creationId xmlns:a16="http://schemas.microsoft.com/office/drawing/2014/main" id="{EF18CE7A-8DF4-428A-8CAE-5B36C500A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946551" y="0"/>
          <a:ext cx="3041422" cy="890379"/>
        </a:xfrm>
        <a:prstGeom prst="rect">
          <a:avLst/>
        </a:prstGeom>
      </xdr:spPr>
    </xdr:pic>
    <xdr:clientData/>
  </xdr:oneCellAnchor>
  <xdr:oneCellAnchor>
    <xdr:from>
      <xdr:col>11</xdr:col>
      <xdr:colOff>222803</xdr:colOff>
      <xdr:row>40</xdr:row>
      <xdr:rowOff>16626</xdr:rowOff>
    </xdr:from>
    <xdr:ext cx="740251" cy="715205"/>
    <xdr:pic>
      <xdr:nvPicPr>
        <xdr:cNvPr id="3" name="Picture 3">
          <a:extLst>
            <a:ext uri="{FF2B5EF4-FFF2-40B4-BE49-F238E27FC236}">
              <a16:creationId xmlns:a16="http://schemas.microsoft.com/office/drawing/2014/main" id="{8D5C2914-D1A2-49FC-B7B4-FA6CB40BD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6603" y="8398626"/>
          <a:ext cx="740251" cy="7152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</xdr:col>
      <xdr:colOff>56195</xdr:colOff>
      <xdr:row>47</xdr:row>
      <xdr:rowOff>65493</xdr:rowOff>
    </xdr:from>
    <xdr:ext cx="1326045" cy="429555"/>
    <xdr:pic>
      <xdr:nvPicPr>
        <xdr:cNvPr id="4" name="그림 3" descr="에코그린-한글.png">
          <a:extLst>
            <a:ext uri="{FF2B5EF4-FFF2-40B4-BE49-F238E27FC236}">
              <a16:creationId xmlns:a16="http://schemas.microsoft.com/office/drawing/2014/main" id="{C3535660-6C9E-45AD-B767-BDA7EFA419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741995" y="9914343"/>
          <a:ext cx="1326045" cy="4295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OTUS\&#44144;&#51228;&#46020;\&#44144;&#51228;&#460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221;&#54788;-pc\&#51648;&#49688;&#50472;&#50644;&#51648;%20&#44277;&#50857;&#54260;&#45908;\My%20Documents\&#44368;&#48372;&#51613;&#44428;\LOTUS\&#44144;&#51228;&#46020;\&#44144;&#51228;&#4602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hqms18.lge.com/My%20Documents/&#44368;&#48372;&#51613;&#44428;/LOTUS/&#44144;&#51228;&#46020;/&#44144;&#51228;&#46020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My%20Documents\&#44368;&#48372;&#51613;&#44428;\LOTUS\&#44144;&#51228;&#46020;\&#44144;&#51228;&#46020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실행내역"/>
      <sheetName val="내역서"/>
      <sheetName val="Project Brief"/>
      <sheetName val="갑지"/>
      <sheetName val="을지"/>
      <sheetName val="통관비용"/>
      <sheetName val="spare"/>
      <sheetName val="투자비상환"/>
      <sheetName val="COVER"/>
      <sheetName val="검토기준"/>
      <sheetName val="산출근거_성능값"/>
      <sheetName val="계산근거"/>
      <sheetName val="요약"/>
      <sheetName val="분석_CASE1"/>
      <sheetName val="분석_CASE2"/>
      <sheetName val="분석_CASE3"/>
      <sheetName val="분석_CASE4"/>
      <sheetName val="거제도"/>
      <sheetName val="外周区 "/>
      <sheetName val="식대견적"/>
      <sheetName val="손익"/>
      <sheetName val="13.Op. Activities"/>
      <sheetName val="BMC009"/>
      <sheetName val="Prices"/>
      <sheetName val="노무비"/>
      <sheetName val="1Month+Sheet2!"/>
      <sheetName val="Training"/>
      <sheetName val="Facility Information"/>
      <sheetName val="General"/>
      <sheetName val="Instructions"/>
      <sheetName val="People"/>
      <sheetName val="Quality"/>
      <sheetName val="Risk"/>
      <sheetName val="2 카드채권(대출포함)"/>
      <sheetName val="Assumption"/>
      <sheetName val="의왕F사"/>
      <sheetName val="가공사"/>
      <sheetName val="Operational Activities"/>
      <sheetName val="의령"/>
      <sheetName val="대구"/>
      <sheetName val="안성"/>
      <sheetName val="재무가정"/>
      <sheetName val="'94자산"/>
      <sheetName val="근무변경검토"/>
      <sheetName val="Project_Brief"/>
      <sheetName val="外周区_"/>
      <sheetName val="13_Op__Activities"/>
      <sheetName val="Facility_Information"/>
      <sheetName val="2_카드채권(대출포함)"/>
      <sheetName val="118.세금과공과"/>
      <sheetName val="108.수선비"/>
      <sheetName val="17.채용자명단"/>
      <sheetName val="표지"/>
      <sheetName val="CM 1"/>
      <sheetName val="입찰안"/>
      <sheetName val="일위대가(가설)"/>
      <sheetName val="CAL1"/>
      <sheetName val="단가비교"/>
      <sheetName val="입찰품의서"/>
      <sheetName val="체계"/>
      <sheetName val="하조서"/>
      <sheetName val="효율표"/>
      <sheetName val="공사설계서"/>
      <sheetName val="vlookup"/>
      <sheetName val="Scope Functional Categories"/>
      <sheetName val="GL Codes"/>
      <sheetName val="1ST"/>
      <sheetName val="절감계산"/>
      <sheetName val="항목"/>
      <sheetName val="COA-17"/>
      <sheetName val="C-18"/>
      <sheetName val="할증 "/>
      <sheetName val="단가산출"/>
      <sheetName val="인근점포"/>
      <sheetName val="15.Op. Activities"/>
      <sheetName val="실행(1)"/>
      <sheetName val="CTEMCOST"/>
      <sheetName val="예산작성기준(전기)"/>
      <sheetName val="95삼성급(본사)"/>
      <sheetName val="#REF"/>
      <sheetName val="Project_Brief1"/>
      <sheetName val="外周区_1"/>
      <sheetName val="13_Op__Activities1"/>
      <sheetName val="Facility_Information1"/>
      <sheetName val="2_카드채권(대출포함)1"/>
      <sheetName val="118_세금과공과"/>
      <sheetName val="108_수선비"/>
      <sheetName val="Operational_Activities"/>
      <sheetName val="17_채용자명단"/>
      <sheetName val="충주"/>
      <sheetName val="기본사항"/>
      <sheetName val="Utility Cost Trend"/>
      <sheetName val="목표세부명세"/>
      <sheetName val="POOM_MOTO"/>
      <sheetName val="POOM_MOTO2"/>
      <sheetName val="FORM-0"/>
      <sheetName val="매립"/>
      <sheetName val="W-현원가"/>
      <sheetName val="B053 (990701)공정실적PP%계산"/>
      <sheetName val="B053 (990701)공정능력PC%계산"/>
      <sheetName val="하남요청"/>
      <sheetName val="CC Down load 0716"/>
      <sheetName val="DATA"/>
      <sheetName val="경제성분석"/>
      <sheetName val="980731"/>
      <sheetName val="JP_GP_UP통합"/>
      <sheetName val="Sheet1"/>
      <sheetName val="Depreciation&amp;Interest"/>
      <sheetName val="二.POSITION.XLS"/>
      <sheetName val="major"/>
      <sheetName val="진행 DATA (2)"/>
      <sheetName val="B053_(990701)공정실적PP%계산"/>
      <sheetName val="B053_(990701)공정능력PC%계산"/>
      <sheetName val="CC_Down_load_0716"/>
      <sheetName val="진행_DATA_(2)"/>
      <sheetName val="정부노임단가"/>
      <sheetName val="금액내역서"/>
      <sheetName val="MP2006 data"/>
      <sheetName val="영업.일1"/>
      <sheetName val="18"/>
      <sheetName val="직공비"/>
      <sheetName val="점수계산1-2"/>
      <sheetName val="신규투자종합"/>
      <sheetName val="직노"/>
      <sheetName val="dV&amp;Cl"/>
      <sheetName val="CAP"/>
      <sheetName val="변수"/>
      <sheetName val="전압하강"/>
      <sheetName val="F-T Voltage"/>
      <sheetName val="Var."/>
      <sheetName val="1월"/>
      <sheetName val="Utility Usage엠닷컴 26"/>
      <sheetName val="납부서"/>
      <sheetName val="산출내역서집계표"/>
      <sheetName val="목록"/>
      <sheetName val="경비"/>
      <sheetName val="공예을"/>
      <sheetName val="설계서"/>
      <sheetName val="기초자료입력"/>
      <sheetName val="을02"/>
      <sheetName val="설계명세서"/>
      <sheetName val="임차비용"/>
      <sheetName val="재료비 산출표"/>
      <sheetName val="품셈표"/>
      <sheetName val="투입내역"/>
      <sheetName val="노임단가표"/>
      <sheetName val="マスタ"/>
      <sheetName val="工완성공사율"/>
      <sheetName val="Voreinstellungen"/>
      <sheetName val="Eingabe"/>
      <sheetName val="B053_(990701)공정실적PP%계산2"/>
      <sheetName val="B053_(990701)공정능력PC%계산2"/>
      <sheetName val="CC_Down_load_07162"/>
      <sheetName val="2_카드채권(대출포함)2"/>
      <sheetName val="진행_DATA_(2)2"/>
      <sheetName val="二_POSITION_XLS1"/>
      <sheetName val="Project_Brief2"/>
      <sheetName val="外周区_2"/>
      <sheetName val="13_Op__Activities2"/>
      <sheetName val="Facility_Information2"/>
      <sheetName val="Operational_Activities1"/>
      <sheetName val="17_채용자명단1"/>
      <sheetName val="118_세금과공과1"/>
      <sheetName val="108_수선비1"/>
      <sheetName val="CM_11"/>
      <sheetName val="Scope_Functional_Categories1"/>
      <sheetName val="GL_Codes1"/>
      <sheetName val="할증_1"/>
      <sheetName val="MP2006_data1"/>
      <sheetName val="B053_(990701)공정실적PP%계산1"/>
      <sheetName val="B053_(990701)공정능력PC%계산1"/>
      <sheetName val="CC_Down_load_07161"/>
      <sheetName val="진행_DATA_(2)1"/>
      <sheetName val="二_POSITION_XLS"/>
      <sheetName val="CM_1"/>
      <sheetName val="Scope_Functional_Categories"/>
      <sheetName val="GL_Codes"/>
      <sheetName val="할증_"/>
      <sheetName val="MP2006_data"/>
      <sheetName val="B053_(990701)공정실적PP%계산4"/>
      <sheetName val="B053_(990701)공정능력PC%계산4"/>
      <sheetName val="CC_Down_load_07164"/>
      <sheetName val="2_카드채권(대출포함)4"/>
      <sheetName val="진행_DATA_(2)4"/>
      <sheetName val="二_POSITION_XLS3"/>
      <sheetName val="Project_Brief4"/>
      <sheetName val="外周区_4"/>
      <sheetName val="13_Op__Activities4"/>
      <sheetName val="Facility_Information4"/>
      <sheetName val="Operational_Activities3"/>
      <sheetName val="17_채용자명단3"/>
      <sheetName val="118_세금과공과3"/>
      <sheetName val="108_수선비3"/>
      <sheetName val="CM_13"/>
      <sheetName val="Scope_Functional_Categories3"/>
      <sheetName val="GL_Codes3"/>
      <sheetName val="할증_3"/>
      <sheetName val="MP2006_data3"/>
      <sheetName val="B053_(990701)공정실적PP%계산3"/>
      <sheetName val="B053_(990701)공정능력PC%계산3"/>
      <sheetName val="CC_Down_load_07163"/>
      <sheetName val="2_카드채권(대출포함)3"/>
      <sheetName val="진행_DATA_(2)3"/>
      <sheetName val="二_POSITION_XLS2"/>
      <sheetName val="Project_Brief3"/>
      <sheetName val="外周区_3"/>
      <sheetName val="13_Op__Activities3"/>
      <sheetName val="Facility_Information3"/>
      <sheetName val="Operational_Activities2"/>
      <sheetName val="17_채용자명단2"/>
      <sheetName val="118_세금과공과2"/>
      <sheetName val="108_수선비2"/>
      <sheetName val="CM_12"/>
      <sheetName val="Scope_Functional_Categories2"/>
      <sheetName val="GL_Codes2"/>
      <sheetName val="할증_2"/>
      <sheetName val="MP2006_data2"/>
      <sheetName val="IP EXP RE TTL"/>
      <sheetName val="3.2(a)- OD Pairs Direct Supp"/>
      <sheetName val="5_2_04MRSupp"/>
      <sheetName val="5_2PARTDETAIL"/>
      <sheetName val="1. KPI"/>
      <sheetName val="Drop-down"/>
      <sheetName val="200"/>
      <sheetName val="Office"/>
      <sheetName val="Retail"/>
      <sheetName val="공정"/>
      <sheetName val="교통대책내역"/>
      <sheetName val="조명율표"/>
      <sheetName val="sw1"/>
      <sheetName val="갑지1"/>
      <sheetName val="배명(단가)"/>
      <sheetName val="토목주소"/>
      <sheetName val="프랜트면허"/>
      <sheetName val="0226"/>
      <sheetName val="터널조도"/>
      <sheetName val="전기실-1"/>
      <sheetName val="EJ"/>
      <sheetName val="실행(ALT1)"/>
      <sheetName val="설계내역서"/>
      <sheetName val="여흥"/>
      <sheetName val="건축원가"/>
      <sheetName val="일위대가"/>
      <sheetName val="연돌일위집계"/>
      <sheetName val="대정예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/>
      <sheetData sheetId="152" refreshError="1"/>
      <sheetData sheetId="153" refreshError="1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/>
      <sheetData sheetId="225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실행내역"/>
      <sheetName val="내역서"/>
    </sheetNames>
    <sheetDataSet>
      <sheetData sheetId="0" refreshError="1"/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실행내역"/>
      <sheetName val="내역서"/>
      <sheetName val="제직재"/>
      <sheetName val="갑지"/>
      <sheetName val="집계표"/>
      <sheetName val="설치공사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실행내역"/>
      <sheetName val="내역서"/>
      <sheetName val="주차(현행)"/>
      <sheetName val="경비(현행)"/>
      <sheetName val="안내도우미(현행)"/>
      <sheetName val="시설(현행)"/>
      <sheetName val="인원계획-미화"/>
      <sheetName val="간접경상비"/>
      <sheetName val="장비당단가 (1)"/>
      <sheetName val="간 지1"/>
      <sheetName val="실행철강하도"/>
      <sheetName val="DATA_Garak"/>
      <sheetName val="DATA_Total"/>
      <sheetName val="DATA_Kwangju"/>
      <sheetName val="DATA_Daejeon"/>
      <sheetName val="DATA_Sadang"/>
      <sheetName val="DATA_Yangjae"/>
      <sheetName val="DATA_Yoido"/>
      <sheetName val="DATA_Ulsan"/>
      <sheetName val="DATA_Incheon"/>
      <sheetName val="DATA_Jeonj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052B2-FF74-4119-9CF4-4C8BE5504070}">
  <sheetPr>
    <tabColor rgb="FFFFFF00"/>
  </sheetPr>
  <dimension ref="A1:Q70"/>
  <sheetViews>
    <sheetView showGridLines="0" tabSelected="1" view="pageBreakPreview" topLeftCell="A60" zoomScale="115" zoomScaleNormal="100" zoomScaleSheetLayoutView="115" workbookViewId="0">
      <selection activeCell="A47" sqref="A47:Q47"/>
    </sheetView>
  </sheetViews>
  <sheetFormatPr defaultRowHeight="16.5" x14ac:dyDescent="0.3"/>
  <cols>
    <col min="1" max="1" width="1.25" style="1" customWidth="1"/>
    <col min="2" max="2" width="3.875" style="1" customWidth="1"/>
    <col min="3" max="3" width="6.75" style="1" customWidth="1"/>
    <col min="4" max="4" width="5.75" style="1" customWidth="1"/>
    <col min="5" max="5" width="7.25" style="1" customWidth="1"/>
    <col min="6" max="6" width="10" style="1" customWidth="1"/>
    <col min="7" max="7" width="9.375" style="1" customWidth="1"/>
    <col min="8" max="9" width="7" style="1" customWidth="1"/>
    <col min="10" max="15" width="7.375" style="1" customWidth="1"/>
    <col min="16" max="16" width="11.875" style="1" customWidth="1"/>
    <col min="17" max="17" width="0.75" style="1" customWidth="1"/>
    <col min="18" max="16384" width="9" style="1"/>
  </cols>
  <sheetData>
    <row r="1" spans="1:17" x14ac:dyDescent="0.3">
      <c r="A1" s="77"/>
      <c r="B1" s="77"/>
      <c r="C1" s="77"/>
    </row>
    <row r="2" spans="1:17" x14ac:dyDescent="0.3">
      <c r="A2" s="78"/>
      <c r="B2" s="78"/>
      <c r="C2" s="78"/>
    </row>
    <row r="3" spans="1:17" ht="38.25" customHeight="1" x14ac:dyDescent="0.3">
      <c r="A3" s="77"/>
      <c r="B3" s="77"/>
      <c r="C3" s="77"/>
    </row>
    <row r="4" spans="1:17" ht="13.5" customHeight="1" x14ac:dyDescent="0.3">
      <c r="A4" s="79" t="s">
        <v>60</v>
      </c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</row>
    <row r="5" spans="1:17" ht="30" customHeight="1" x14ac:dyDescent="0.3">
      <c r="A5" s="80" t="s">
        <v>59</v>
      </c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</row>
    <row r="6" spans="1:17" ht="30" customHeight="1" x14ac:dyDescent="0.3">
      <c r="A6" s="80" t="s">
        <v>58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</row>
    <row r="7" spans="1:17" ht="30" customHeight="1" x14ac:dyDescent="0.3">
      <c r="A7" s="81" t="s">
        <v>57</v>
      </c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</row>
    <row r="8" spans="1:17" ht="30" customHeight="1" x14ac:dyDescent="0.3">
      <c r="A8" s="80" t="s">
        <v>56</v>
      </c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</row>
    <row r="9" spans="1:17" ht="9.9499999999999993" customHeight="1" thickBot="1" x14ac:dyDescent="0.35"/>
    <row r="10" spans="1:17" ht="9.75" customHeight="1" x14ac:dyDescent="0.3">
      <c r="A10" s="76"/>
      <c r="B10" s="76"/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</row>
    <row r="11" spans="1:17" ht="24.95" customHeight="1" x14ac:dyDescent="0.3">
      <c r="A11" s="82" t="s">
        <v>55</v>
      </c>
      <c r="B11" s="82"/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</row>
    <row r="12" spans="1:17" ht="24.95" customHeight="1" x14ac:dyDescent="0.3">
      <c r="A12" s="82" t="s">
        <v>54</v>
      </c>
      <c r="B12" s="82"/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</row>
    <row r="13" spans="1:17" ht="30" customHeight="1" x14ac:dyDescent="0.3">
      <c r="A13" s="83" t="s">
        <v>53</v>
      </c>
      <c r="B13" s="83"/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</row>
    <row r="14" spans="1:17" ht="9.9499999999999993" customHeight="1" x14ac:dyDescent="0.3">
      <c r="A14" s="71"/>
      <c r="B14" s="71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</row>
    <row r="15" spans="1:17" ht="33.75" customHeight="1" x14ac:dyDescent="0.3">
      <c r="B15" s="84" t="s">
        <v>52</v>
      </c>
      <c r="C15" s="84"/>
      <c r="D15" s="84"/>
      <c r="E15" s="85" t="s">
        <v>51</v>
      </c>
      <c r="F15" s="85"/>
      <c r="G15" s="85"/>
      <c r="H15" s="85"/>
      <c r="I15" s="85"/>
      <c r="J15" s="85" t="s">
        <v>50</v>
      </c>
      <c r="K15" s="85"/>
      <c r="L15" s="85"/>
      <c r="M15" s="85"/>
      <c r="N15" s="86" t="s">
        <v>49</v>
      </c>
      <c r="O15" s="87"/>
      <c r="P15" s="88"/>
      <c r="Q15" s="62"/>
    </row>
    <row r="16" spans="1:17" ht="21.95" customHeight="1" x14ac:dyDescent="0.3">
      <c r="B16" s="89" t="s">
        <v>48</v>
      </c>
      <c r="C16" s="90"/>
      <c r="D16" s="91"/>
      <c r="E16" s="95" t="s">
        <v>47</v>
      </c>
      <c r="F16" s="95"/>
      <c r="G16" s="95"/>
      <c r="H16" s="95"/>
      <c r="I16" s="95"/>
      <c r="J16" s="96">
        <f>O62</f>
        <v>0</v>
      </c>
      <c r="K16" s="96"/>
      <c r="L16" s="96"/>
      <c r="M16" s="96"/>
      <c r="N16" s="97" t="s">
        <v>46</v>
      </c>
      <c r="O16" s="98"/>
      <c r="P16" s="99"/>
      <c r="Q16" s="72"/>
    </row>
    <row r="17" spans="1:17" ht="21.95" customHeight="1" x14ac:dyDescent="0.3">
      <c r="B17" s="92"/>
      <c r="C17" s="93"/>
      <c r="D17" s="94"/>
      <c r="E17" s="95" t="s">
        <v>45</v>
      </c>
      <c r="F17" s="95"/>
      <c r="G17" s="95"/>
      <c r="H17" s="95"/>
      <c r="I17" s="95"/>
      <c r="J17" s="96">
        <f>O63</f>
        <v>0</v>
      </c>
      <c r="K17" s="96"/>
      <c r="L17" s="96"/>
      <c r="M17" s="96"/>
      <c r="N17" s="100" t="s">
        <v>43</v>
      </c>
      <c r="O17" s="101"/>
      <c r="P17" s="102"/>
      <c r="Q17" s="62"/>
    </row>
    <row r="18" spans="1:17" ht="21.95" customHeight="1" x14ac:dyDescent="0.3">
      <c r="B18" s="92"/>
      <c r="C18" s="93"/>
      <c r="D18" s="94"/>
      <c r="E18" s="95" t="s">
        <v>44</v>
      </c>
      <c r="F18" s="95"/>
      <c r="G18" s="95"/>
      <c r="H18" s="95"/>
      <c r="I18" s="95"/>
      <c r="J18" s="96">
        <f>O64</f>
        <v>0</v>
      </c>
      <c r="K18" s="96"/>
      <c r="L18" s="96"/>
      <c r="M18" s="96"/>
      <c r="N18" s="100" t="s">
        <v>43</v>
      </c>
      <c r="O18" s="101"/>
      <c r="P18" s="102"/>
      <c r="Q18" s="62"/>
    </row>
    <row r="19" spans="1:17" ht="21.95" customHeight="1" x14ac:dyDescent="0.3">
      <c r="B19" s="92"/>
      <c r="C19" s="93"/>
      <c r="D19" s="94"/>
      <c r="E19" s="95" t="s">
        <v>42</v>
      </c>
      <c r="F19" s="95"/>
      <c r="G19" s="95"/>
      <c r="H19" s="95"/>
      <c r="I19" s="95"/>
      <c r="J19" s="96">
        <f>O67</f>
        <v>0</v>
      </c>
      <c r="K19" s="96"/>
      <c r="L19" s="96"/>
      <c r="M19" s="96"/>
      <c r="N19" s="100" t="s">
        <v>41</v>
      </c>
      <c r="O19" s="101"/>
      <c r="P19" s="102"/>
      <c r="Q19" s="62"/>
    </row>
    <row r="20" spans="1:17" ht="21.95" hidden="1" customHeight="1" x14ac:dyDescent="0.3">
      <c r="B20" s="75"/>
      <c r="C20" s="74"/>
      <c r="D20" s="73"/>
      <c r="E20" s="100" t="str">
        <f>L68</f>
        <v>공백차감(2일)</v>
      </c>
      <c r="F20" s="101"/>
      <c r="G20" s="101"/>
      <c r="H20" s="101"/>
      <c r="I20" s="102"/>
      <c r="J20" s="103">
        <f>O68</f>
        <v>0</v>
      </c>
      <c r="K20" s="104"/>
      <c r="L20" s="104"/>
      <c r="M20" s="105"/>
      <c r="N20" s="100" t="s">
        <v>40</v>
      </c>
      <c r="O20" s="101"/>
      <c r="P20" s="102"/>
      <c r="Q20" s="62"/>
    </row>
    <row r="21" spans="1:17" ht="21.95" customHeight="1" x14ac:dyDescent="0.3">
      <c r="B21" s="106" t="s">
        <v>39</v>
      </c>
      <c r="C21" s="106"/>
      <c r="D21" s="106"/>
      <c r="E21" s="106"/>
      <c r="F21" s="106"/>
      <c r="G21" s="106"/>
      <c r="H21" s="106"/>
      <c r="I21" s="106"/>
      <c r="J21" s="96">
        <f>ROUNDDOWN(SUM(J16:M20),-1)</f>
        <v>0</v>
      </c>
      <c r="K21" s="96"/>
      <c r="L21" s="96"/>
      <c r="M21" s="96"/>
      <c r="N21" s="97"/>
      <c r="O21" s="98"/>
      <c r="P21" s="99"/>
      <c r="Q21" s="72"/>
    </row>
    <row r="22" spans="1:17" ht="6.75" customHeight="1" x14ac:dyDescent="0.3">
      <c r="B22" s="68"/>
      <c r="C22" s="68"/>
      <c r="D22" s="71"/>
      <c r="E22" s="71"/>
      <c r="F22" s="71"/>
      <c r="G22" s="71"/>
      <c r="H22" s="71"/>
      <c r="I22" s="71"/>
      <c r="J22" s="71"/>
      <c r="K22" s="71"/>
      <c r="L22" s="71"/>
      <c r="M22" s="70"/>
      <c r="N22" s="70"/>
      <c r="O22" s="69"/>
      <c r="P22" s="69"/>
      <c r="Q22" s="68"/>
    </row>
    <row r="23" spans="1:17" s="57" customFormat="1" ht="21.95" hidden="1" customHeight="1" x14ac:dyDescent="0.3">
      <c r="A23" s="1"/>
      <c r="B23" s="95" t="s">
        <v>38</v>
      </c>
      <c r="C23" s="95"/>
      <c r="D23" s="95"/>
      <c r="E23" s="95"/>
      <c r="F23" s="95" t="s">
        <v>37</v>
      </c>
      <c r="G23" s="95"/>
      <c r="H23" s="95"/>
      <c r="I23" s="67" t="s">
        <v>36</v>
      </c>
      <c r="J23" s="95" t="s">
        <v>35</v>
      </c>
      <c r="K23" s="95"/>
      <c r="L23" s="107" t="s">
        <v>34</v>
      </c>
      <c r="M23" s="107"/>
      <c r="N23" s="108" t="s">
        <v>33</v>
      </c>
      <c r="O23" s="108"/>
      <c r="P23" s="108"/>
      <c r="Q23" s="67"/>
    </row>
    <row r="24" spans="1:17" ht="21.95" hidden="1" customHeight="1" x14ac:dyDescent="0.3">
      <c r="B24" s="95" t="s">
        <v>32</v>
      </c>
      <c r="C24" s="95"/>
      <c r="D24" s="95"/>
      <c r="E24" s="95"/>
      <c r="F24" s="109">
        <v>97677.33</v>
      </c>
      <c r="G24" s="109"/>
      <c r="H24" s="109"/>
      <c r="I24" s="110">
        <f>J21/F26</f>
        <v>0</v>
      </c>
      <c r="J24" s="111">
        <f>ROUND(F24*I24,-1)</f>
        <v>0</v>
      </c>
      <c r="K24" s="111"/>
      <c r="L24" s="112"/>
      <c r="M24" s="112"/>
      <c r="N24" s="111">
        <f>SUM(J24:M24)</f>
        <v>0</v>
      </c>
      <c r="O24" s="111"/>
      <c r="P24" s="111"/>
      <c r="Q24" s="66"/>
    </row>
    <row r="25" spans="1:17" ht="21.95" hidden="1" customHeight="1" x14ac:dyDescent="0.3">
      <c r="B25" s="95" t="s">
        <v>31</v>
      </c>
      <c r="C25" s="95"/>
      <c r="D25" s="95"/>
      <c r="E25" s="95"/>
      <c r="F25" s="109">
        <v>13915.44</v>
      </c>
      <c r="G25" s="109"/>
      <c r="H25" s="109"/>
      <c r="I25" s="110"/>
      <c r="J25" s="111">
        <f>ROUND(F25*I24,-1)</f>
        <v>0</v>
      </c>
      <c r="K25" s="111"/>
      <c r="L25" s="112">
        <f>ROUND(J25*10%,-1)</f>
        <v>0</v>
      </c>
      <c r="M25" s="112"/>
      <c r="N25" s="111">
        <f>SUM(J25:M25)</f>
        <v>0</v>
      </c>
      <c r="O25" s="111"/>
      <c r="P25" s="111"/>
      <c r="Q25" s="66"/>
    </row>
    <row r="26" spans="1:17" s="63" customFormat="1" ht="21.95" hidden="1" customHeight="1" x14ac:dyDescent="0.3">
      <c r="B26" s="85" t="s">
        <v>30</v>
      </c>
      <c r="C26" s="85"/>
      <c r="D26" s="85"/>
      <c r="E26" s="85"/>
      <c r="F26" s="113">
        <f>SUM(F24:H25)</f>
        <v>111592.77</v>
      </c>
      <c r="G26" s="113"/>
      <c r="H26" s="113"/>
      <c r="I26" s="65"/>
      <c r="J26" s="114">
        <f>SUM(J24:K25)</f>
        <v>0</v>
      </c>
      <c r="K26" s="114"/>
      <c r="L26" s="115">
        <f>SUM(L24:M25)</f>
        <v>0</v>
      </c>
      <c r="M26" s="115"/>
      <c r="N26" s="114">
        <f>SUM(J26:M26)</f>
        <v>0</v>
      </c>
      <c r="O26" s="114"/>
      <c r="P26" s="114"/>
      <c r="Q26" s="64"/>
    </row>
    <row r="27" spans="1:17" ht="21" customHeight="1" x14ac:dyDescent="0.3">
      <c r="B27" s="61" t="s">
        <v>29</v>
      </c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</row>
    <row r="28" spans="1:17" ht="21" customHeight="1" x14ac:dyDescent="0.3">
      <c r="B28" s="61" t="s">
        <v>28</v>
      </c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</row>
    <row r="29" spans="1:17" ht="21" customHeight="1" x14ac:dyDescent="0.3">
      <c r="B29" s="61" t="s">
        <v>27</v>
      </c>
      <c r="C29" s="60"/>
    </row>
    <row r="30" spans="1:17" ht="24.75" customHeight="1" x14ac:dyDescent="0.3">
      <c r="A30" s="57"/>
      <c r="B30" s="57"/>
      <c r="C30" s="57"/>
      <c r="P30" s="59" t="s">
        <v>26</v>
      </c>
    </row>
    <row r="31" spans="1:17" ht="15" customHeight="1" x14ac:dyDescent="0.3">
      <c r="A31" s="57"/>
      <c r="B31" s="57"/>
      <c r="C31" s="57"/>
    </row>
    <row r="32" spans="1:17" ht="15" customHeight="1" x14ac:dyDescent="0.3">
      <c r="A32" s="57"/>
      <c r="B32" s="57"/>
      <c r="C32" s="58"/>
    </row>
    <row r="33" spans="1:17" ht="15" customHeight="1" x14ac:dyDescent="0.3">
      <c r="A33" s="57"/>
      <c r="B33" s="57"/>
      <c r="C33" s="57"/>
    </row>
    <row r="34" spans="1:17" ht="15" customHeight="1" x14ac:dyDescent="0.3">
      <c r="A34" s="57"/>
      <c r="B34" s="57"/>
      <c r="C34" s="57"/>
    </row>
    <row r="35" spans="1:17" ht="15" customHeight="1" x14ac:dyDescent="0.3">
      <c r="A35" s="57"/>
      <c r="B35" s="57"/>
      <c r="C35" s="57"/>
    </row>
    <row r="36" spans="1:17" ht="15" customHeight="1" x14ac:dyDescent="0.3">
      <c r="A36" s="57"/>
      <c r="B36" s="57"/>
      <c r="C36" s="57"/>
    </row>
    <row r="37" spans="1:17" ht="15" customHeight="1" x14ac:dyDescent="0.3">
      <c r="A37" s="57"/>
      <c r="B37" s="57"/>
      <c r="C37" s="57"/>
    </row>
    <row r="38" spans="1:17" ht="15" customHeight="1" x14ac:dyDescent="0.3">
      <c r="A38" s="57"/>
      <c r="B38" s="57"/>
      <c r="C38" s="57"/>
    </row>
    <row r="39" spans="1:17" ht="15" customHeight="1" x14ac:dyDescent="0.3">
      <c r="A39" s="57"/>
      <c r="B39" s="57"/>
      <c r="C39" s="57"/>
    </row>
    <row r="40" spans="1:17" ht="9" customHeight="1" x14ac:dyDescent="0.3">
      <c r="A40" s="57"/>
      <c r="B40" s="57"/>
      <c r="C40" s="57"/>
    </row>
    <row r="42" spans="1:17" ht="24" customHeight="1" x14ac:dyDescent="0.3">
      <c r="A42" s="116" t="s">
        <v>25</v>
      </c>
      <c r="B42" s="116"/>
      <c r="C42" s="116"/>
      <c r="D42" s="116"/>
      <c r="E42" s="116"/>
      <c r="F42" s="116"/>
      <c r="G42" s="116"/>
      <c r="H42" s="116"/>
      <c r="I42" s="116"/>
      <c r="J42" s="116"/>
      <c r="K42" s="116"/>
      <c r="L42" s="116"/>
      <c r="M42" s="116"/>
      <c r="N42" s="116"/>
      <c r="O42" s="116"/>
      <c r="P42" s="116"/>
      <c r="Q42" s="116"/>
    </row>
    <row r="47" spans="1:17" ht="30" customHeight="1" x14ac:dyDescent="0.3">
      <c r="A47" s="117"/>
      <c r="B47" s="117"/>
      <c r="C47" s="117"/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</row>
    <row r="48" spans="1:17" ht="30" customHeight="1" thickBot="1" x14ac:dyDescent="0.35">
      <c r="F48" s="56"/>
      <c r="G48" s="56"/>
      <c r="H48" s="56"/>
      <c r="I48" s="56"/>
      <c r="K48" s="55"/>
      <c r="L48" s="55"/>
    </row>
    <row r="49" spans="2:16" ht="26.25" customHeight="1" thickBot="1" x14ac:dyDescent="0.35">
      <c r="F49" s="56"/>
      <c r="G49" s="56"/>
      <c r="H49" s="56"/>
      <c r="I49" s="56"/>
      <c r="K49" s="55"/>
      <c r="L49" s="55"/>
      <c r="M49" s="55"/>
      <c r="N49" s="118" t="s">
        <v>24</v>
      </c>
      <c r="O49" s="119"/>
      <c r="P49" s="120"/>
    </row>
    <row r="50" spans="2:16" s="45" customFormat="1" ht="47.25" customHeight="1" thickBot="1" x14ac:dyDescent="0.35">
      <c r="B50" s="54" t="s">
        <v>23</v>
      </c>
      <c r="C50" s="51" t="s">
        <v>22</v>
      </c>
      <c r="D50" s="53" t="s">
        <v>10</v>
      </c>
      <c r="E50" s="52" t="s">
        <v>21</v>
      </c>
      <c r="F50" s="51" t="s">
        <v>20</v>
      </c>
      <c r="G50" s="51" t="s">
        <v>19</v>
      </c>
      <c r="H50" s="51" t="s">
        <v>18</v>
      </c>
      <c r="I50" s="50" t="s">
        <v>9</v>
      </c>
      <c r="J50" s="49" t="s">
        <v>17</v>
      </c>
      <c r="K50" s="47" t="s">
        <v>16</v>
      </c>
      <c r="L50" s="47" t="s">
        <v>15</v>
      </c>
      <c r="M50" s="48" t="s">
        <v>14</v>
      </c>
      <c r="N50" s="48" t="s">
        <v>13</v>
      </c>
      <c r="O50" s="47" t="s">
        <v>12</v>
      </c>
      <c r="P50" s="46" t="s">
        <v>11</v>
      </c>
    </row>
    <row r="51" spans="2:16" ht="26.25" customHeight="1" x14ac:dyDescent="0.3">
      <c r="B51" s="29"/>
      <c r="C51" s="37"/>
      <c r="D51" s="37"/>
      <c r="E51" s="37"/>
      <c r="F51" s="41"/>
      <c r="G51" s="44"/>
      <c r="H51" s="23"/>
      <c r="I51" s="22"/>
      <c r="J51" s="43"/>
      <c r="K51" s="20"/>
      <c r="L51" s="20"/>
      <c r="M51" s="20"/>
      <c r="N51" s="18"/>
      <c r="O51" s="18"/>
      <c r="P51" s="42"/>
    </row>
    <row r="52" spans="2:16" ht="26.25" customHeight="1" x14ac:dyDescent="0.3">
      <c r="B52" s="29"/>
      <c r="C52" s="26"/>
      <c r="D52" s="26"/>
      <c r="E52" s="26"/>
      <c r="F52" s="41"/>
      <c r="G52" s="40"/>
      <c r="H52" s="23"/>
      <c r="I52" s="22"/>
      <c r="J52" s="21"/>
      <c r="K52" s="20"/>
      <c r="L52" s="20"/>
      <c r="M52" s="30"/>
      <c r="N52" s="18"/>
      <c r="O52" s="18"/>
      <c r="P52" s="17"/>
    </row>
    <row r="53" spans="2:16" ht="26.25" customHeight="1" x14ac:dyDescent="0.3">
      <c r="B53" s="29"/>
      <c r="C53" s="26"/>
      <c r="D53" s="27"/>
      <c r="E53" s="26"/>
      <c r="F53" s="41"/>
      <c r="G53" s="40"/>
      <c r="H53" s="23"/>
      <c r="I53" s="22"/>
      <c r="J53" s="21"/>
      <c r="K53" s="20"/>
      <c r="L53" s="20"/>
      <c r="M53" s="30"/>
      <c r="N53" s="18"/>
      <c r="O53" s="18"/>
      <c r="P53" s="17"/>
    </row>
    <row r="54" spans="2:16" ht="26.25" customHeight="1" x14ac:dyDescent="0.3">
      <c r="B54" s="29"/>
      <c r="C54" s="28"/>
      <c r="D54" s="27"/>
      <c r="E54" s="26"/>
      <c r="F54" s="25"/>
      <c r="G54" s="40"/>
      <c r="H54" s="34"/>
      <c r="I54" s="33"/>
      <c r="J54" s="21"/>
      <c r="K54" s="20"/>
      <c r="L54" s="20"/>
      <c r="M54" s="30"/>
      <c r="N54" s="18"/>
      <c r="O54" s="18"/>
      <c r="P54" s="17"/>
    </row>
    <row r="55" spans="2:16" ht="26.25" customHeight="1" x14ac:dyDescent="0.3">
      <c r="B55" s="29"/>
      <c r="C55" s="28"/>
      <c r="D55" s="39"/>
      <c r="E55" s="26"/>
      <c r="F55" s="36"/>
      <c r="G55" s="24"/>
      <c r="H55" s="23"/>
      <c r="I55" s="22"/>
      <c r="J55" s="21"/>
      <c r="K55" s="20"/>
      <c r="L55" s="20"/>
      <c r="M55" s="30"/>
      <c r="N55" s="18"/>
      <c r="O55" s="18"/>
      <c r="P55" s="17"/>
    </row>
    <row r="56" spans="2:16" ht="26.25" customHeight="1" x14ac:dyDescent="0.3">
      <c r="B56" s="29"/>
      <c r="C56" s="38"/>
      <c r="D56" s="27"/>
      <c r="E56" s="37"/>
      <c r="F56" s="36"/>
      <c r="G56" s="31"/>
      <c r="H56" s="34"/>
      <c r="I56" s="33"/>
      <c r="J56" s="21"/>
      <c r="K56" s="20"/>
      <c r="L56" s="20"/>
      <c r="M56" s="19"/>
      <c r="N56" s="18"/>
      <c r="O56" s="18"/>
      <c r="P56" s="17"/>
    </row>
    <row r="57" spans="2:16" ht="26.25" customHeight="1" x14ac:dyDescent="0.3">
      <c r="B57" s="29"/>
      <c r="C57" s="28"/>
      <c r="D57" s="27"/>
      <c r="E57" s="28"/>
      <c r="F57" s="32"/>
      <c r="G57" s="35"/>
      <c r="H57" s="34"/>
      <c r="I57" s="33"/>
      <c r="J57" s="21"/>
      <c r="K57" s="20"/>
      <c r="L57" s="20"/>
      <c r="M57" s="30"/>
      <c r="N57" s="18"/>
      <c r="O57" s="18"/>
      <c r="P57" s="17"/>
    </row>
    <row r="58" spans="2:16" ht="26.25" customHeight="1" x14ac:dyDescent="0.3">
      <c r="B58" s="29"/>
      <c r="C58" s="28"/>
      <c r="D58" s="27"/>
      <c r="E58" s="28"/>
      <c r="F58" s="32"/>
      <c r="G58" s="31"/>
      <c r="H58" s="23"/>
      <c r="I58" s="22"/>
      <c r="J58" s="21"/>
      <c r="K58" s="20"/>
      <c r="L58" s="20"/>
      <c r="M58" s="30"/>
      <c r="N58" s="18"/>
      <c r="O58" s="18"/>
      <c r="P58" s="17"/>
    </row>
    <row r="59" spans="2:16" ht="26.25" customHeight="1" x14ac:dyDescent="0.3">
      <c r="B59" s="29"/>
      <c r="C59" s="28"/>
      <c r="D59" s="27"/>
      <c r="E59" s="28"/>
      <c r="F59" s="32"/>
      <c r="G59" s="31"/>
      <c r="H59" s="23"/>
      <c r="I59" s="22"/>
      <c r="J59" s="21"/>
      <c r="K59" s="20"/>
      <c r="L59" s="20"/>
      <c r="M59" s="30"/>
      <c r="N59" s="18"/>
      <c r="O59" s="18"/>
      <c r="P59" s="17"/>
    </row>
    <row r="60" spans="2:16" ht="26.25" customHeight="1" x14ac:dyDescent="0.3">
      <c r="B60" s="29"/>
      <c r="C60" s="28"/>
      <c r="D60" s="27"/>
      <c r="E60" s="26"/>
      <c r="F60" s="25"/>
      <c r="G60" s="24"/>
      <c r="H60" s="23"/>
      <c r="I60" s="22"/>
      <c r="J60" s="21"/>
      <c r="K60" s="20"/>
      <c r="L60" s="20"/>
      <c r="M60" s="19"/>
      <c r="N60" s="18"/>
      <c r="O60" s="18"/>
      <c r="P60" s="17"/>
    </row>
    <row r="61" spans="2:16" ht="24.75" customHeight="1" thickBot="1" x14ac:dyDescent="0.35">
      <c r="B61" s="16"/>
      <c r="C61" s="15"/>
      <c r="D61" s="15"/>
      <c r="E61" s="15"/>
      <c r="F61" s="15"/>
      <c r="G61" s="15"/>
      <c r="H61" s="14">
        <f t="shared" ref="H61:O61" si="0">SUM(H51:H60)</f>
        <v>0</v>
      </c>
      <c r="I61" s="14">
        <f t="shared" si="0"/>
        <v>0</v>
      </c>
      <c r="J61" s="13">
        <f t="shared" si="0"/>
        <v>0</v>
      </c>
      <c r="K61" s="12">
        <f t="shared" si="0"/>
        <v>0</v>
      </c>
      <c r="L61" s="12">
        <f t="shared" si="0"/>
        <v>0</v>
      </c>
      <c r="M61" s="12">
        <f t="shared" si="0"/>
        <v>0</v>
      </c>
      <c r="N61" s="12">
        <f t="shared" si="0"/>
        <v>0</v>
      </c>
      <c r="O61" s="12">
        <f t="shared" si="0"/>
        <v>0</v>
      </c>
      <c r="P61" s="11">
        <f>SUM(P51:Q60)</f>
        <v>0</v>
      </c>
    </row>
    <row r="62" spans="2:16" ht="21.75" customHeight="1" thickBot="1" x14ac:dyDescent="0.35">
      <c r="B62" s="10" t="s">
        <v>8</v>
      </c>
      <c r="C62" s="9"/>
      <c r="D62" s="9"/>
      <c r="E62" s="9"/>
      <c r="F62" s="9"/>
      <c r="G62" s="8"/>
      <c r="H62" s="8"/>
      <c r="I62" s="8"/>
      <c r="J62" s="7"/>
      <c r="K62" s="7"/>
      <c r="L62" s="121" t="s">
        <v>7</v>
      </c>
      <c r="M62" s="122"/>
      <c r="N62" s="123"/>
      <c r="O62" s="124"/>
      <c r="P62" s="125"/>
    </row>
    <row r="63" spans="2:16" ht="21.75" customHeight="1" x14ac:dyDescent="0.3">
      <c r="B63" s="6"/>
      <c r="C63" s="5"/>
      <c r="D63" s="5"/>
      <c r="E63" s="5"/>
      <c r="F63" s="5"/>
      <c r="G63" s="5"/>
      <c r="H63" s="5"/>
      <c r="I63" s="4"/>
      <c r="L63" s="126" t="s">
        <v>6</v>
      </c>
      <c r="M63" s="126"/>
      <c r="N63" s="126"/>
      <c r="O63" s="127"/>
      <c r="P63" s="128"/>
    </row>
    <row r="64" spans="2:16" ht="21.75" customHeight="1" x14ac:dyDescent="0.3">
      <c r="B64" s="131"/>
      <c r="C64" s="131"/>
      <c r="D64" s="131"/>
      <c r="E64" s="131"/>
      <c r="F64" s="131"/>
      <c r="G64" s="131"/>
      <c r="H64" s="131"/>
      <c r="I64" s="131"/>
      <c r="J64" s="131"/>
      <c r="K64" s="132"/>
      <c r="L64" s="133" t="s">
        <v>5</v>
      </c>
      <c r="M64" s="133"/>
      <c r="N64" s="133"/>
      <c r="O64" s="134"/>
      <c r="P64" s="135"/>
    </row>
    <row r="65" spans="2:16" ht="21.75" customHeight="1" x14ac:dyDescent="0.3">
      <c r="B65" s="131"/>
      <c r="C65" s="131"/>
      <c r="D65" s="131"/>
      <c r="E65" s="131"/>
      <c r="F65" s="131"/>
      <c r="G65" s="131"/>
      <c r="H65" s="131"/>
      <c r="I65" s="131"/>
      <c r="J65" s="131"/>
      <c r="L65" s="136" t="s">
        <v>4</v>
      </c>
      <c r="M65" s="137"/>
      <c r="N65" s="138"/>
      <c r="O65" s="139"/>
      <c r="P65" s="140"/>
    </row>
    <row r="66" spans="2:16" ht="21.75" customHeight="1" thickBot="1" x14ac:dyDescent="0.35">
      <c r="B66" s="149"/>
      <c r="C66" s="150"/>
      <c r="D66" s="150"/>
      <c r="E66" s="150"/>
      <c r="F66" s="150"/>
      <c r="G66" s="150"/>
      <c r="H66" s="150"/>
      <c r="I66" s="150"/>
      <c r="J66" s="150"/>
      <c r="L66" s="151" t="s">
        <v>3</v>
      </c>
      <c r="M66" s="152"/>
      <c r="N66" s="153"/>
      <c r="O66" s="154"/>
      <c r="P66" s="155"/>
    </row>
    <row r="67" spans="2:16" ht="21.75" customHeight="1" x14ac:dyDescent="0.3">
      <c r="B67" s="156"/>
      <c r="C67" s="156"/>
      <c r="D67" s="156"/>
      <c r="E67" s="156"/>
      <c r="F67" s="156"/>
      <c r="G67" s="156"/>
      <c r="H67" s="156"/>
      <c r="I67" s="156"/>
      <c r="J67" s="156"/>
      <c r="L67" s="157" t="s">
        <v>2</v>
      </c>
      <c r="M67" s="158"/>
      <c r="N67" s="159"/>
      <c r="O67" s="129"/>
      <c r="P67" s="130"/>
    </row>
    <row r="68" spans="2:16" ht="21.75" hidden="1" customHeight="1" x14ac:dyDescent="0.3">
      <c r="B68" s="3"/>
      <c r="C68" s="2"/>
      <c r="D68" s="2"/>
      <c r="E68" s="2"/>
      <c r="F68" s="2"/>
      <c r="G68" s="2"/>
      <c r="H68" s="2"/>
      <c r="L68" s="141" t="s">
        <v>1</v>
      </c>
      <c r="M68" s="142"/>
      <c r="N68" s="143"/>
      <c r="O68" s="134"/>
      <c r="P68" s="135"/>
    </row>
    <row r="69" spans="2:16" ht="21.75" customHeight="1" thickBot="1" x14ac:dyDescent="0.35">
      <c r="B69" s="2"/>
      <c r="C69" s="2"/>
      <c r="D69" s="2"/>
      <c r="E69" s="2"/>
      <c r="F69" s="2"/>
      <c r="G69" s="2"/>
      <c r="H69" s="2"/>
      <c r="L69" s="144" t="s">
        <v>0</v>
      </c>
      <c r="M69" s="145"/>
      <c r="N69" s="146"/>
      <c r="O69" s="147"/>
      <c r="P69" s="148"/>
    </row>
    <row r="70" spans="2:16" ht="17.25" thickTop="1" x14ac:dyDescent="0.3"/>
  </sheetData>
  <mergeCells count="75">
    <mergeCell ref="L68:N68"/>
    <mergeCell ref="O68:P68"/>
    <mergeCell ref="L69:N69"/>
    <mergeCell ref="O69:P69"/>
    <mergeCell ref="B66:J66"/>
    <mergeCell ref="L66:N66"/>
    <mergeCell ref="O66:P66"/>
    <mergeCell ref="B67:J67"/>
    <mergeCell ref="L67:N67"/>
    <mergeCell ref="L63:N63"/>
    <mergeCell ref="O63:P63"/>
    <mergeCell ref="O67:P67"/>
    <mergeCell ref="B64:K64"/>
    <mergeCell ref="L64:N64"/>
    <mergeCell ref="O64:P64"/>
    <mergeCell ref="B65:J65"/>
    <mergeCell ref="L65:N65"/>
    <mergeCell ref="O65:P65"/>
    <mergeCell ref="A42:Q42"/>
    <mergeCell ref="A47:Q47"/>
    <mergeCell ref="N49:P49"/>
    <mergeCell ref="L62:N62"/>
    <mergeCell ref="O62:P62"/>
    <mergeCell ref="B26:E26"/>
    <mergeCell ref="F26:H26"/>
    <mergeCell ref="J26:K26"/>
    <mergeCell ref="L26:M26"/>
    <mergeCell ref="N26:P26"/>
    <mergeCell ref="N24:P24"/>
    <mergeCell ref="B25:E25"/>
    <mergeCell ref="F25:H25"/>
    <mergeCell ref="J25:K25"/>
    <mergeCell ref="L25:M25"/>
    <mergeCell ref="N25:P25"/>
    <mergeCell ref="B24:E24"/>
    <mergeCell ref="F24:H24"/>
    <mergeCell ref="I24:I25"/>
    <mergeCell ref="J24:K24"/>
    <mergeCell ref="L24:M24"/>
    <mergeCell ref="B23:E23"/>
    <mergeCell ref="F23:H23"/>
    <mergeCell ref="J23:K23"/>
    <mergeCell ref="L23:M23"/>
    <mergeCell ref="N23:P23"/>
    <mergeCell ref="E20:I20"/>
    <mergeCell ref="J20:M20"/>
    <mergeCell ref="N20:P20"/>
    <mergeCell ref="B21:I21"/>
    <mergeCell ref="J21:M21"/>
    <mergeCell ref="N21:P21"/>
    <mergeCell ref="B16:D19"/>
    <mergeCell ref="E16:I16"/>
    <mergeCell ref="J16:M16"/>
    <mergeCell ref="N16:P16"/>
    <mergeCell ref="E17:I17"/>
    <mergeCell ref="J17:M17"/>
    <mergeCell ref="N17:P17"/>
    <mergeCell ref="E18:I18"/>
    <mergeCell ref="J18:M18"/>
    <mergeCell ref="N18:P18"/>
    <mergeCell ref="E19:I19"/>
    <mergeCell ref="J19:M19"/>
    <mergeCell ref="N19:P19"/>
    <mergeCell ref="A11:Q11"/>
    <mergeCell ref="A12:Q12"/>
    <mergeCell ref="A13:Q13"/>
    <mergeCell ref="B15:D15"/>
    <mergeCell ref="E15:I15"/>
    <mergeCell ref="J15:M15"/>
    <mergeCell ref="N15:P15"/>
    <mergeCell ref="A4:Q4"/>
    <mergeCell ref="A5:Q5"/>
    <mergeCell ref="A6:Q6"/>
    <mergeCell ref="A7:Q7"/>
    <mergeCell ref="A8:Q8"/>
  </mergeCells>
  <phoneticPr fontId="4" type="noConversion"/>
  <pageMargins left="0.35433070866141736" right="0.35433070866141736" top="0.98425196850393704" bottom="0.51181102362204722" header="0.51181102362204722" footer="0.51181102362204722"/>
  <pageSetup paperSize="9" scale="71" orientation="portrait" r:id="rId1"/>
  <rowBreaks count="1" manualBreakCount="1">
    <brk id="44" max="1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청구26.03 (2)</vt:lpstr>
      <vt:lpstr>'청구26.03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</dc:creator>
  <cp:lastModifiedBy>JS</cp:lastModifiedBy>
  <dcterms:created xsi:type="dcterms:W3CDTF">2026-04-24T07:12:45Z</dcterms:created>
  <dcterms:modified xsi:type="dcterms:W3CDTF">2026-07-31T03:55:10Z</dcterms:modified>
</cp:coreProperties>
</file>